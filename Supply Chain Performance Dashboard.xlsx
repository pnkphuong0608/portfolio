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C:\Users\ASUS Vivobook\Downloads\"/>
    </mc:Choice>
  </mc:AlternateContent>
  <xr:revisionPtr revIDLastSave="0" documentId="13_ncr:1_{2D1A133C-0154-4119-98DF-DB445FEF89BD}" xr6:coauthVersionLast="47" xr6:coauthVersionMax="47" xr10:uidLastSave="{00000000-0000-0000-0000-000000000000}"/>
  <bookViews>
    <workbookView xWindow="-108" yWindow="-108" windowWidth="23256" windowHeight="12456" activeTab="1" xr2:uid="{9E830CEB-C5E4-4A63-B78E-D8BDD67B3ACF}"/>
  </bookViews>
  <sheets>
    <sheet name="Dashboard" sheetId="9" r:id="rId1"/>
    <sheet name="Pivot Table" sheetId="7" r:id="rId2"/>
    <sheet name="supply_chain_data" sheetId="1" r:id="rId3"/>
  </sheets>
  <definedNames>
    <definedName name="Slicer_Customer_demographics">#N/A</definedName>
    <definedName name="Slicer_Location">#N/A</definedName>
    <definedName name="Slicer_Product_type">#N/A</definedName>
    <definedName name="Slicer_Shipping_carriers">#N/A</definedName>
    <definedName name="Slicer_Supplier_name">#N/A</definedName>
  </definedNames>
  <calcPr calcId="191029"/>
  <pivotCaches>
    <pivotCache cacheId="95" r:id="rId4"/>
  </pivotCaches>
  <extLst>
    <ext xmlns:x14="http://schemas.microsoft.com/office/spreadsheetml/2009/9/main" uri="{BBE1A952-AA13-448e-AADC-164F8A28A991}">
      <x14:slicerCaches>
        <x14:slicerCache r:id="rId5"/>
        <x14:slicerCache r:id="rId6"/>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40" i="9" l="1"/>
  <c r="C47" i="9"/>
  <c r="L16" i="7"/>
  <c r="L17" i="7"/>
  <c r="L18" i="7"/>
  <c r="L19" i="7"/>
  <c r="L20" i="7"/>
  <c r="L12" i="7"/>
  <c r="L13" i="7"/>
  <c r="L14" i="7"/>
  <c r="L15" i="7"/>
  <c r="L11" i="7"/>
  <c r="J36" i="7"/>
  <c r="J37" i="7"/>
  <c r="J38" i="7"/>
  <c r="J39" i="7"/>
  <c r="J40" i="7"/>
  <c r="J41" i="7"/>
  <c r="J42" i="7"/>
  <c r="J43" i="7"/>
  <c r="J44" i="7"/>
  <c r="J35" i="7"/>
  <c r="C19" i="9"/>
  <c r="C33" i="9"/>
  <c r="C26" i="9"/>
</calcChain>
</file>

<file path=xl/sharedStrings.xml><?xml version="1.0" encoding="utf-8"?>
<sst xmlns="http://schemas.openxmlformats.org/spreadsheetml/2006/main" count="1108" uniqueCount="186">
  <si>
    <t>Product type</t>
  </si>
  <si>
    <t>SKU</t>
  </si>
  <si>
    <t>Price</t>
  </si>
  <si>
    <t>Availability</t>
  </si>
  <si>
    <t>Number of products sold</t>
  </si>
  <si>
    <t>Revenue generated</t>
  </si>
  <si>
    <t>Customer demographics</t>
  </si>
  <si>
    <t>Stock levels</t>
  </si>
  <si>
    <t>Lead times</t>
  </si>
  <si>
    <t>Order quantities</t>
  </si>
  <si>
    <t>Shipping times</t>
  </si>
  <si>
    <t>Shipping carriers</t>
  </si>
  <si>
    <t>Shipping costs</t>
  </si>
  <si>
    <t>Supplier name</t>
  </si>
  <si>
    <t>Location</t>
  </si>
  <si>
    <t>Lead time</t>
  </si>
  <si>
    <t>Production volumes</t>
  </si>
  <si>
    <t>Manufacturing lead time</t>
  </si>
  <si>
    <t>Inspection results</t>
  </si>
  <si>
    <t>Defect rates</t>
  </si>
  <si>
    <t>Transportation modes</t>
  </si>
  <si>
    <t>Routes</t>
  </si>
  <si>
    <t>Costs</t>
  </si>
  <si>
    <t>haircare</t>
  </si>
  <si>
    <t>SKU0</t>
  </si>
  <si>
    <t>Non-binary</t>
  </si>
  <si>
    <t>Carrier B</t>
  </si>
  <si>
    <t>Supplier 3</t>
  </si>
  <si>
    <t>Mumbai</t>
  </si>
  <si>
    <t>Pending</t>
  </si>
  <si>
    <t>Road</t>
  </si>
  <si>
    <t>Route B</t>
  </si>
  <si>
    <t>skincare</t>
  </si>
  <si>
    <t>SKU1</t>
  </si>
  <si>
    <t>Female</t>
  </si>
  <si>
    <t>Carrier A</t>
  </si>
  <si>
    <t>SKU2</t>
  </si>
  <si>
    <t>Unknown</t>
  </si>
  <si>
    <t>Supplier 1</t>
  </si>
  <si>
    <t>Air</t>
  </si>
  <si>
    <t>Route C</t>
  </si>
  <si>
    <t>SKU3</t>
  </si>
  <si>
    <t>Carrier C</t>
  </si>
  <si>
    <t>Supplier 5</t>
  </si>
  <si>
    <t>Kolkata</t>
  </si>
  <si>
    <t>Fail</t>
  </si>
  <si>
    <t>Rail</t>
  </si>
  <si>
    <t>Route A</t>
  </si>
  <si>
    <t>SKU4</t>
  </si>
  <si>
    <t>Delhi</t>
  </si>
  <si>
    <t>SKU5</t>
  </si>
  <si>
    <t>Supplier 4</t>
  </si>
  <si>
    <t>Bangalore</t>
  </si>
  <si>
    <t>SKU6</t>
  </si>
  <si>
    <t>Male</t>
  </si>
  <si>
    <t>Sea</t>
  </si>
  <si>
    <t>cosmetics</t>
  </si>
  <si>
    <t>SKU7</t>
  </si>
  <si>
    <t>SKU8</t>
  </si>
  <si>
    <t>SKU9</t>
  </si>
  <si>
    <t>Supplier 2</t>
  </si>
  <si>
    <t>Chennai</t>
  </si>
  <si>
    <t>SKU10</t>
  </si>
  <si>
    <t>Pass</t>
  </si>
  <si>
    <t>SKU11</t>
  </si>
  <si>
    <t>SKU12</t>
  </si>
  <si>
    <t>SKU13</t>
  </si>
  <si>
    <t>SKU14</t>
  </si>
  <si>
    <t>SKU15</t>
  </si>
  <si>
    <t>SKU16</t>
  </si>
  <si>
    <t>SKU17</t>
  </si>
  <si>
    <t>SKU18</t>
  </si>
  <si>
    <t>SKU19</t>
  </si>
  <si>
    <t>SKU20</t>
  </si>
  <si>
    <t>SKU21</t>
  </si>
  <si>
    <t>SKU22</t>
  </si>
  <si>
    <t>SKU23</t>
  </si>
  <si>
    <t>SKU24</t>
  </si>
  <si>
    <t>SKU25</t>
  </si>
  <si>
    <t>SKU26</t>
  </si>
  <si>
    <t>SKU27</t>
  </si>
  <si>
    <t>SKU28</t>
  </si>
  <si>
    <t>SKU29</t>
  </si>
  <si>
    <t>SKU30</t>
  </si>
  <si>
    <t>SKU31</t>
  </si>
  <si>
    <t>SKU32</t>
  </si>
  <si>
    <t>SKU33</t>
  </si>
  <si>
    <t>SKU34</t>
  </si>
  <si>
    <t>SKU35</t>
  </si>
  <si>
    <t>SKU36</t>
  </si>
  <si>
    <t>SKU37</t>
  </si>
  <si>
    <t>SKU38</t>
  </si>
  <si>
    <t>SKU39</t>
  </si>
  <si>
    <t>SKU40</t>
  </si>
  <si>
    <t>SKU41</t>
  </si>
  <si>
    <t>SKU42</t>
  </si>
  <si>
    <t>SKU43</t>
  </si>
  <si>
    <t>SKU44</t>
  </si>
  <si>
    <t>SKU45</t>
  </si>
  <si>
    <t>SKU46</t>
  </si>
  <si>
    <t>SKU47</t>
  </si>
  <si>
    <t>SKU48</t>
  </si>
  <si>
    <t>SKU49</t>
  </si>
  <si>
    <t>SKU50</t>
  </si>
  <si>
    <t>SKU51</t>
  </si>
  <si>
    <t>SKU52</t>
  </si>
  <si>
    <t>SKU53</t>
  </si>
  <si>
    <t>SKU54</t>
  </si>
  <si>
    <t>SKU55</t>
  </si>
  <si>
    <t>SKU56</t>
  </si>
  <si>
    <t>SKU57</t>
  </si>
  <si>
    <t>SKU58</t>
  </si>
  <si>
    <t>SKU59</t>
  </si>
  <si>
    <t>SKU60</t>
  </si>
  <si>
    <t>SKU61</t>
  </si>
  <si>
    <t>SKU62</t>
  </si>
  <si>
    <t>SKU63</t>
  </si>
  <si>
    <t>SKU64</t>
  </si>
  <si>
    <t>SKU65</t>
  </si>
  <si>
    <t>SKU66</t>
  </si>
  <si>
    <t>SKU67</t>
  </si>
  <si>
    <t>SKU68</t>
  </si>
  <si>
    <t>SKU69</t>
  </si>
  <si>
    <t>SKU70</t>
  </si>
  <si>
    <t>SKU71</t>
  </si>
  <si>
    <t>SKU72</t>
  </si>
  <si>
    <t>SKU73</t>
  </si>
  <si>
    <t>SKU74</t>
  </si>
  <si>
    <t>SKU75</t>
  </si>
  <si>
    <t>SKU76</t>
  </si>
  <si>
    <t>SKU77</t>
  </si>
  <si>
    <t>SKU78</t>
  </si>
  <si>
    <t>SKU79</t>
  </si>
  <si>
    <t>SKU80</t>
  </si>
  <si>
    <t>SKU81</t>
  </si>
  <si>
    <t>SKU82</t>
  </si>
  <si>
    <t>SKU83</t>
  </si>
  <si>
    <t>SKU84</t>
  </si>
  <si>
    <t>SKU85</t>
  </si>
  <si>
    <t>SKU86</t>
  </si>
  <si>
    <t>SKU87</t>
  </si>
  <si>
    <t>SKU88</t>
  </si>
  <si>
    <t>SKU89</t>
  </si>
  <si>
    <t>SKU90</t>
  </si>
  <si>
    <t>SKU91</t>
  </si>
  <si>
    <t>SKU92</t>
  </si>
  <si>
    <t>SKU93</t>
  </si>
  <si>
    <t>SKU94</t>
  </si>
  <si>
    <t>SKU95</t>
  </si>
  <si>
    <t>SKU96</t>
  </si>
  <si>
    <t>SKU97</t>
  </si>
  <si>
    <t>SKU98</t>
  </si>
  <si>
    <t>SKU99</t>
  </si>
  <si>
    <t>Row Labels</t>
  </si>
  <si>
    <t>Grand Total</t>
  </si>
  <si>
    <t>Column Labels</t>
  </si>
  <si>
    <t>Sum of Number of products sold</t>
  </si>
  <si>
    <t>Sum of Revenue generated</t>
  </si>
  <si>
    <t>Average of Defect rates</t>
  </si>
  <si>
    <t>Average of Lead time</t>
  </si>
  <si>
    <t>Sum of Stock levels</t>
  </si>
  <si>
    <t>Sum of Profit</t>
  </si>
  <si>
    <t>Average of Shipping costs</t>
  </si>
  <si>
    <t>Total Revenue</t>
  </si>
  <si>
    <t>TOP 10 SKUs by profit</t>
  </si>
  <si>
    <t>Revenue by location and product</t>
  </si>
  <si>
    <t>Bottom 10 SKUs by stock level</t>
  </si>
  <si>
    <t>Sum of Production volumes</t>
  </si>
  <si>
    <t>Manufacturing costs per unit</t>
  </si>
  <si>
    <t>Avg</t>
  </si>
  <si>
    <t>Average of Manufacturing costs per unit</t>
  </si>
  <si>
    <t>Average of Shipping costs vs. lead time</t>
  </si>
  <si>
    <t>TOP 5 SKUs by revenue</t>
  </si>
  <si>
    <t>Profit by product type</t>
  </si>
  <si>
    <t>Sum of Margin</t>
  </si>
  <si>
    <t>Average of Margin</t>
  </si>
  <si>
    <t>Average of Profit</t>
  </si>
  <si>
    <t>Revenue by demographics</t>
  </si>
  <si>
    <t xml:space="preserve"> </t>
  </si>
  <si>
    <t>Total Profit</t>
  </si>
  <si>
    <t>Top Selling Product</t>
  </si>
  <si>
    <t/>
  </si>
  <si>
    <t>Average of Manufacturing lead time</t>
  </si>
  <si>
    <t>Total Products Sold</t>
  </si>
  <si>
    <t>Top Region</t>
  </si>
  <si>
    <t>SUPPLY CHAIN PERFORMANCE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</si>
</sst>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000"/>
  </numFmts>
  <fonts count="2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color theme="1"/>
      <name val="Arial"/>
      <family val="2"/>
    </font>
    <font>
      <b/>
      <sz val="14"/>
      <color theme="1"/>
      <name val="Arial"/>
      <family val="2"/>
    </font>
    <font>
      <b/>
      <sz val="40"/>
      <color theme="1"/>
      <name val="Arial"/>
      <family val="2"/>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79998168889431442"/>
        <bgColor theme="4" tint="0.79998168889431442"/>
      </patternFill>
    </fill>
    <fill>
      <patternFill patternType="solid">
        <fgColor rgb="FFFFC000"/>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theme="5" tint="-0.249977111117893"/>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4" tint="0.39997558519241921"/>
      </bottom>
      <diagonal/>
    </border>
    <border>
      <left/>
      <right/>
      <top style="thin">
        <color rgb="FFFFC000"/>
      </top>
      <bottom/>
      <diagonal/>
    </border>
    <border>
      <left style="thin">
        <color rgb="FFFFC000"/>
      </left>
      <right/>
      <top style="thin">
        <color rgb="FFFFC000"/>
      </top>
      <bottom/>
      <diagonal/>
    </border>
    <border>
      <left/>
      <right style="thin">
        <color rgb="FFFFC000"/>
      </right>
      <top style="thin">
        <color rgb="FFFFC000"/>
      </top>
      <bottom/>
      <diagonal/>
    </border>
    <border>
      <left style="thin">
        <color rgb="FFFFC000"/>
      </left>
      <right/>
      <top/>
      <bottom/>
      <diagonal/>
    </border>
    <border>
      <left/>
      <right style="thin">
        <color rgb="FFFFC000"/>
      </right>
      <top/>
      <bottom/>
      <diagonal/>
    </border>
    <border>
      <left style="thin">
        <color rgb="FFFFC000"/>
      </left>
      <right/>
      <top/>
      <bottom style="thin">
        <color rgb="FFFFC000"/>
      </bottom>
      <diagonal/>
    </border>
    <border>
      <left/>
      <right/>
      <top/>
      <bottom style="thin">
        <color rgb="FFFFC000"/>
      </bottom>
      <diagonal/>
    </border>
    <border>
      <left/>
      <right style="thin">
        <color rgb="FFFFC000"/>
      </right>
      <top/>
      <bottom style="thin">
        <color rgb="FFFFC000"/>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0">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0" fontId="16" fillId="33" borderId="10" xfId="0" applyFont="1" applyFill="1" applyBorder="1"/>
    <xf numFmtId="164" fontId="0" fillId="0" borderId="0" xfId="0" applyNumberFormat="1"/>
    <xf numFmtId="0" fontId="0" fillId="34" borderId="0" xfId="0" applyFill="1"/>
    <xf numFmtId="0" fontId="0" fillId="35" borderId="0" xfId="0" applyFill="1" applyAlignment="1">
      <alignment horizontal="left"/>
    </xf>
    <xf numFmtId="0" fontId="0" fillId="35" borderId="0" xfId="0" applyFill="1"/>
    <xf numFmtId="0" fontId="18" fillId="0" borderId="0" xfId="0" applyFont="1"/>
    <xf numFmtId="10" fontId="0" fillId="0" borderId="0" xfId="0" applyNumberFormat="1"/>
    <xf numFmtId="0" fontId="19" fillId="0" borderId="0" xfId="0" applyFont="1" applyAlignment="1">
      <alignment horizontal="center" vertical="center"/>
    </xf>
    <xf numFmtId="0" fontId="18" fillId="0" borderId="0" xfId="0" pivotButton="1" applyFont="1"/>
    <xf numFmtId="0" fontId="18" fillId="0" borderId="0" xfId="0" applyFont="1" applyAlignment="1">
      <alignment horizontal="left"/>
    </xf>
    <xf numFmtId="0" fontId="18" fillId="34" borderId="0" xfId="0" applyFont="1" applyFill="1"/>
    <xf numFmtId="0" fontId="18" fillId="35" borderId="0" xfId="0" applyFont="1" applyFill="1" applyAlignment="1">
      <alignment horizontal="left"/>
    </xf>
    <xf numFmtId="0" fontId="18" fillId="35" borderId="0" xfId="0" applyFont="1" applyFill="1"/>
    <xf numFmtId="0" fontId="18" fillId="37" borderId="0" xfId="0" applyFont="1" applyFill="1" applyAlignment="1">
      <alignment horizontal="left"/>
    </xf>
    <xf numFmtId="0" fontId="18" fillId="0" borderId="0" xfId="0" applyFont="1" applyAlignment="1">
      <alignment horizontal="left" indent="1"/>
    </xf>
    <xf numFmtId="0" fontId="18" fillId="37" borderId="0" xfId="0" applyFont="1" applyFill="1"/>
    <xf numFmtId="0" fontId="18" fillId="0" borderId="11" xfId="0" applyFont="1" applyBorder="1"/>
    <xf numFmtId="0" fontId="18" fillId="0" borderId="12" xfId="0" applyFont="1" applyBorder="1"/>
    <xf numFmtId="0" fontId="18" fillId="0" borderId="13" xfId="0" applyFont="1" applyBorder="1"/>
    <xf numFmtId="0" fontId="18" fillId="0" borderId="14" xfId="0" applyFont="1" applyBorder="1"/>
    <xf numFmtId="0" fontId="18" fillId="0" borderId="15" xfId="0" applyFont="1" applyBorder="1"/>
    <xf numFmtId="0" fontId="18" fillId="0" borderId="16" xfId="0" applyFont="1" applyBorder="1"/>
    <xf numFmtId="0" fontId="18" fillId="0" borderId="17" xfId="0" applyFont="1" applyBorder="1"/>
    <xf numFmtId="0" fontId="18" fillId="0" borderId="18" xfId="0" applyFont="1" applyBorder="1"/>
    <xf numFmtId="0" fontId="19" fillId="35" borderId="0" xfId="0" applyFont="1" applyFill="1" applyAlignment="1">
      <alignment horizontal="center" vertical="center"/>
    </xf>
    <xf numFmtId="0" fontId="20" fillId="36" borderId="0" xfId="0" applyFont="1" applyFill="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60">
    <dxf>
      <fill>
        <patternFill patternType="solid">
          <bgColor rgb="FFFFC000"/>
        </patternFill>
      </fill>
    </dxf>
    <dxf>
      <fill>
        <patternFill patternType="solid">
          <bgColor theme="5" tint="0.39997558519241921"/>
        </patternFill>
      </fill>
    </dxf>
    <dxf>
      <fill>
        <patternFill patternType="solid">
          <bgColor theme="5" tint="0.39997558519241921"/>
        </patternFill>
      </fill>
    </dxf>
    <dxf>
      <fill>
        <patternFill>
          <bgColor rgb="FF92D050"/>
        </patternFill>
      </fill>
    </dxf>
    <dxf>
      <border>
        <left style="thin">
          <color rgb="FFFFC000"/>
        </left>
        <right style="thin">
          <color rgb="FFFFC000"/>
        </right>
        <top style="thin">
          <color rgb="FFFFC000"/>
        </top>
        <bottom style="thin">
          <color rgb="FFFFC000"/>
        </bottom>
      </border>
    </dxf>
    <dxf>
      <border>
        <left style="thin">
          <color rgb="FFFFC000"/>
        </left>
        <right style="thin">
          <color rgb="FFFFC000"/>
        </right>
        <top style="thin">
          <color rgb="FFFFC000"/>
        </top>
        <bottom style="thin">
          <color rgb="FFFFC000"/>
        </bottom>
      </border>
    </dxf>
    <dxf>
      <border>
        <left style="thin">
          <color rgb="FFFFC000"/>
        </left>
        <right style="thin">
          <color rgb="FFFFC000"/>
        </right>
        <top style="thin">
          <color rgb="FFFFC000"/>
        </top>
        <bottom style="thin">
          <color rgb="FFFFC000"/>
        </bottom>
      </border>
    </dxf>
    <dxf>
      <border>
        <left style="thin">
          <color rgb="FFFFC000"/>
        </left>
        <right style="thin">
          <color rgb="FFFFC000"/>
        </right>
        <top style="thin">
          <color rgb="FFFFC000"/>
        </top>
        <bottom style="thin">
          <color rgb="FFFFC000"/>
        </bottom>
      </border>
    </dxf>
    <dxf>
      <border>
        <left style="thin">
          <color rgb="FFFFC000"/>
        </left>
        <right style="thin">
          <color rgb="FFFFC000"/>
        </right>
        <top style="thin">
          <color rgb="FFFFC000"/>
        </top>
        <bottom style="thin">
          <color rgb="FFFFC000"/>
        </bottom>
      </border>
    </dxf>
    <dxf>
      <font>
        <name val="Arial"/>
        <scheme val="none"/>
      </font>
    </dxf>
    <dxf>
      <font>
        <name val="Arial"/>
        <scheme val="none"/>
      </font>
    </dxf>
    <dxf>
      <font>
        <name val="Arial"/>
        <scheme val="none"/>
      </font>
    </dxf>
    <dxf>
      <font>
        <name val="Arial"/>
        <scheme val="none"/>
      </font>
    </dxf>
    <dxf>
      <font>
        <name val="Arial"/>
        <scheme val="none"/>
      </font>
    </dxf>
    <dxf>
      <fill>
        <patternFill patternType="solid">
          <bgColor theme="5" tint="0.39997558519241921"/>
        </patternFill>
      </fill>
    </dxf>
    <dxf>
      <fill>
        <patternFill patternType="solid">
          <bgColor theme="5" tint="0.39997558519241921"/>
        </patternFill>
      </fill>
    </dxf>
    <dxf>
      <border>
        <left style="thin">
          <color rgb="FFFFC000"/>
        </left>
        <right style="thin">
          <color rgb="FFFFC000"/>
        </right>
        <top style="thin">
          <color rgb="FFFFC000"/>
        </top>
        <bottom style="thin">
          <color rgb="FFFFC000"/>
        </bottom>
      </border>
    </dxf>
    <dxf>
      <border>
        <left style="thin">
          <color rgb="FFFFC000"/>
        </left>
        <right style="thin">
          <color rgb="FFFFC000"/>
        </right>
        <top style="thin">
          <color rgb="FFFFC000"/>
        </top>
        <bottom style="thin">
          <color rgb="FFFFC000"/>
        </bottom>
      </border>
    </dxf>
    <dxf>
      <border>
        <left style="thin">
          <color rgb="FFFFC000"/>
        </left>
        <right style="thin">
          <color rgb="FFFFC000"/>
        </right>
        <top style="thin">
          <color rgb="FFFFC000"/>
        </top>
        <bottom style="thin">
          <color rgb="FFFFC000"/>
        </bottom>
      </border>
    </dxf>
    <dxf>
      <border>
        <left style="thin">
          <color rgb="FFFFC000"/>
        </left>
        <right style="thin">
          <color rgb="FFFFC000"/>
        </right>
        <top style="thin">
          <color rgb="FFFFC000"/>
        </top>
        <bottom style="thin">
          <color rgb="FFFFC000"/>
        </bottom>
      </border>
    </dxf>
    <dxf>
      <border>
        <left style="thin">
          <color rgb="FFFFC000"/>
        </left>
        <right style="thin">
          <color rgb="FFFFC000"/>
        </right>
        <top style="thin">
          <color rgb="FFFFC000"/>
        </top>
        <bottom style="thin">
          <color rgb="FFFFC000"/>
        </bottom>
      </border>
    </dxf>
    <dxf>
      <fill>
        <patternFill>
          <bgColor theme="5" tint="-0.249977111117893"/>
        </patternFill>
      </fill>
    </dxf>
    <dxf>
      <fill>
        <patternFill>
          <bgColor theme="5" tint="-0.249977111117893"/>
        </patternFill>
      </fill>
    </dxf>
    <dxf>
      <fill>
        <patternFill patternType="solid">
          <bgColor rgb="FFFF0000"/>
        </patternFill>
      </fill>
    </dxf>
    <dxf>
      <fill>
        <patternFill patternType="solid">
          <bgColor rgb="FFFF0000"/>
        </patternFill>
      </fill>
    </dxf>
    <dxf>
      <font>
        <name val="Arial"/>
        <scheme val="none"/>
      </font>
    </dxf>
    <dxf>
      <font>
        <name val="Arial"/>
        <scheme val="none"/>
      </font>
    </dxf>
    <dxf>
      <font>
        <name val="Arial"/>
        <scheme val="none"/>
      </font>
    </dxf>
    <dxf>
      <font>
        <name val="Arial"/>
        <scheme val="none"/>
      </font>
    </dxf>
    <dxf>
      <font>
        <name val="Arial"/>
        <scheme val="none"/>
      </font>
    </dxf>
    <dxf>
      <border>
        <left style="thin">
          <color rgb="FFFFC000"/>
        </left>
        <right style="thin">
          <color rgb="FFFFC000"/>
        </right>
        <top style="thin">
          <color rgb="FFFFC000"/>
        </top>
        <bottom style="thin">
          <color rgb="FFFFC000"/>
        </bottom>
      </border>
    </dxf>
    <dxf>
      <border>
        <left style="thin">
          <color rgb="FFFFC000"/>
        </left>
        <right style="thin">
          <color rgb="FFFFC000"/>
        </right>
        <top style="thin">
          <color rgb="FFFFC000"/>
        </top>
        <bottom style="thin">
          <color rgb="FFFFC000"/>
        </bottom>
      </border>
    </dxf>
    <dxf>
      <border>
        <left style="thin">
          <color rgb="FFFFC000"/>
        </left>
        <right style="thin">
          <color rgb="FFFFC000"/>
        </right>
        <top style="thin">
          <color rgb="FFFFC000"/>
        </top>
        <bottom style="thin">
          <color rgb="FFFFC000"/>
        </bottom>
      </border>
    </dxf>
    <dxf>
      <border>
        <left style="thin">
          <color rgb="FFFFC000"/>
        </left>
        <right style="thin">
          <color rgb="FFFFC000"/>
        </right>
        <top style="thin">
          <color rgb="FFFFC000"/>
        </top>
        <bottom style="thin">
          <color rgb="FFFFC000"/>
        </bottom>
      </border>
    </dxf>
    <dxf>
      <border>
        <left style="thin">
          <color rgb="FFFFC000"/>
        </left>
        <right style="thin">
          <color rgb="FFFFC000"/>
        </right>
        <top style="thin">
          <color rgb="FFFFC000"/>
        </top>
        <bottom style="thin">
          <color rgb="FFFFC000"/>
        </bottom>
      </border>
    </dxf>
    <dxf>
      <font>
        <name val="Arial"/>
        <scheme val="none"/>
      </font>
    </dxf>
    <dxf>
      <font>
        <name val="Arial"/>
        <scheme val="none"/>
      </font>
    </dxf>
    <dxf>
      <font>
        <name val="Arial"/>
        <scheme val="none"/>
      </font>
    </dxf>
    <dxf>
      <font>
        <name val="Arial"/>
        <scheme val="none"/>
      </font>
    </dxf>
    <dxf>
      <font>
        <name val="Arial"/>
        <scheme val="none"/>
      </font>
    </dxf>
    <dxf>
      <fill>
        <patternFill patternType="solid">
          <bgColor rgb="FFFFC000"/>
        </patternFill>
      </fill>
    </dxf>
    <dxf>
      <border>
        <left style="thin">
          <color rgb="FFFFC000"/>
        </left>
        <right style="thin">
          <color rgb="FFFFC000"/>
        </right>
        <top style="thin">
          <color rgb="FFFFC000"/>
        </top>
        <bottom style="thin">
          <color rgb="FFFFC000"/>
        </bottom>
      </border>
    </dxf>
    <dxf>
      <border>
        <left style="thin">
          <color rgb="FFFFC000"/>
        </left>
        <right style="thin">
          <color rgb="FFFFC000"/>
        </right>
        <top style="thin">
          <color rgb="FFFFC000"/>
        </top>
        <bottom style="thin">
          <color rgb="FFFFC000"/>
        </bottom>
      </border>
    </dxf>
    <dxf>
      <border>
        <left style="thin">
          <color rgb="FFFFC000"/>
        </left>
        <right style="thin">
          <color rgb="FFFFC000"/>
        </right>
        <top style="thin">
          <color rgb="FFFFC000"/>
        </top>
        <bottom style="thin">
          <color rgb="FFFFC000"/>
        </bottom>
      </border>
    </dxf>
    <dxf>
      <border>
        <left style="thin">
          <color rgb="FFFFC000"/>
        </left>
        <right style="thin">
          <color rgb="FFFFC000"/>
        </right>
        <top style="thin">
          <color rgb="FFFFC000"/>
        </top>
        <bottom style="thin">
          <color rgb="FFFFC000"/>
        </bottom>
      </border>
    </dxf>
    <dxf>
      <border>
        <left style="thin">
          <color rgb="FFFFC000"/>
        </left>
        <right style="thin">
          <color rgb="FFFFC000"/>
        </right>
        <top style="thin">
          <color rgb="FFFFC000"/>
        </top>
        <bottom style="thin">
          <color rgb="FFFFC000"/>
        </bottom>
      </border>
    </dxf>
    <dxf>
      <border>
        <left style="thin">
          <color rgb="FFFFC000"/>
        </left>
        <right style="thin">
          <color rgb="FFFFC000"/>
        </right>
        <top style="thin">
          <color rgb="FFFFC000"/>
        </top>
        <bottom style="thin">
          <color rgb="FFFFC000"/>
        </bottom>
      </border>
    </dxf>
    <dxf>
      <border>
        <left style="thin">
          <color rgb="FFFFC000"/>
        </left>
        <right style="thin">
          <color rgb="FFFFC000"/>
        </right>
        <top style="thin">
          <color rgb="FFFFC000"/>
        </top>
        <bottom style="thin">
          <color rgb="FFFFC000"/>
        </bottom>
      </border>
    </dxf>
    <dxf>
      <border>
        <left style="thin">
          <color rgb="FFFFC000"/>
        </left>
        <right style="thin">
          <color rgb="FFFFC000"/>
        </right>
        <top style="thin">
          <color rgb="FFFFC000"/>
        </top>
        <bottom style="thin">
          <color rgb="FFFFC000"/>
        </bottom>
      </border>
    </dxf>
    <dxf>
      <border>
        <left style="thin">
          <color rgb="FFFFC000"/>
        </left>
        <right style="thin">
          <color rgb="FFFFC000"/>
        </right>
        <top style="thin">
          <color rgb="FFFFC000"/>
        </top>
        <bottom style="thin">
          <color rgb="FFFFC000"/>
        </bottom>
      </border>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tyles" Target="styles.xml"/><Relationship Id="rId5" Type="http://schemas.microsoft.com/office/2007/relationships/slicerCache" Target="slicerCaches/slicerCache1.xml"/><Relationship Id="rId10" Type="http://schemas.openxmlformats.org/officeDocument/2006/relationships/theme" Target="theme/theme1.xml"/><Relationship Id="rId4" Type="http://schemas.openxmlformats.org/officeDocument/2006/relationships/pivotCacheDefinition" Target="pivotCache/pivotCacheDefinition1.xml"/><Relationship Id="rId9" Type="http://schemas.microsoft.com/office/2007/relationships/slicerCache" Target="slicerCaches/slicerCache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 Chain Performance Dashboard.xlsx]Pivot Table!PivotTable31</c:name>
    <c:fmtId val="4"/>
  </c:pivotSource>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b="1"/>
              <a:t>Total Revenue by Customer Demographics</a:t>
            </a:r>
          </a:p>
        </c:rich>
      </c:tx>
      <c:layout>
        <c:manualLayout>
          <c:xMode val="edge"/>
          <c:yMode val="edge"/>
          <c:x val="2.0032922194000925E-2"/>
          <c:y val="3.040713614177705E-2"/>
        </c:manualLayout>
      </c:layout>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manualLayout>
          <c:layoutTarget val="inner"/>
          <c:xMode val="edge"/>
          <c:yMode val="edge"/>
          <c:x val="0.26982229800439533"/>
          <c:y val="0.15811959177717269"/>
          <c:w val="0.41648464928607742"/>
          <c:h val="0.78930531536258708"/>
        </c:manualLayout>
      </c:layout>
      <c:pieChart>
        <c:varyColors val="1"/>
        <c:ser>
          <c:idx val="0"/>
          <c:order val="0"/>
          <c:tx>
            <c:strRef>
              <c:f>'Pivot Table'!$B$18</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38E-4511-9F02-576C033EC52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38E-4511-9F02-576C033EC52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38E-4511-9F02-576C033EC52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38E-4511-9F02-576C033EC525}"/>
              </c:ext>
            </c:extLst>
          </c:dPt>
          <c:dLbls>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Table'!$A$19:$A$23</c:f>
              <c:strCache>
                <c:ptCount val="4"/>
                <c:pt idx="0">
                  <c:v>Unknown</c:v>
                </c:pt>
                <c:pt idx="1">
                  <c:v>Female</c:v>
                </c:pt>
                <c:pt idx="2">
                  <c:v>Male</c:v>
                </c:pt>
                <c:pt idx="3">
                  <c:v>Non-binary</c:v>
                </c:pt>
              </c:strCache>
            </c:strRef>
          </c:cat>
          <c:val>
            <c:numRef>
              <c:f>'Pivot Table'!$B$19:$B$23</c:f>
              <c:numCache>
                <c:formatCode>0.00%</c:formatCode>
                <c:ptCount val="4"/>
                <c:pt idx="0">
                  <c:v>0.29966878429988542</c:v>
                </c:pt>
                <c:pt idx="1">
                  <c:v>0.27962801535229365</c:v>
                </c:pt>
                <c:pt idx="2">
                  <c:v>0.21924054327744993</c:v>
                </c:pt>
                <c:pt idx="3">
                  <c:v>0.20146265707037114</c:v>
                </c:pt>
              </c:numCache>
            </c:numRef>
          </c:val>
          <c:extLst>
            <c:ext xmlns:c16="http://schemas.microsoft.com/office/drawing/2014/chart" uri="{C3380CC4-5D6E-409C-BE32-E72D297353CC}">
              <c16:uniqueId val="{00000008-638E-4511-9F02-576C033EC525}"/>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76006795819207462"/>
          <c:y val="0.30492251676339688"/>
          <c:w val="0.20055344441475545"/>
          <c:h val="0.54457923313351619"/>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31750" cap="flat" cmpd="sng" algn="ctr">
      <a:solidFill>
        <a:srgbClr val="FFC000"/>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 Chain Performance Dashboard.xlsx]Pivot Table!PivotTable23</c:name>
    <c:fmtId val="4"/>
  </c:pivotSource>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b="1"/>
              <a:t>Average Manufacturing Lead Time</a:t>
            </a:r>
            <a:r>
              <a:rPr lang="en-US" sz="1600" b="1" baseline="0"/>
              <a:t> and Defect Rates by Suppliers</a:t>
            </a:r>
            <a:endParaRPr lang="en-US" sz="1600" b="1"/>
          </a:p>
        </c:rich>
      </c:tx>
      <c:layout>
        <c:manualLayout>
          <c:xMode val="edge"/>
          <c:yMode val="edge"/>
          <c:x val="1.807310265365486E-2"/>
          <c:y val="3.0138032235358683E-2"/>
        </c:manualLayout>
      </c:layout>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5251896544679463E-2"/>
          <c:y val="0.15870771353472443"/>
          <c:w val="0.8842635700281225"/>
          <c:h val="0.65055228232952189"/>
        </c:manualLayout>
      </c:layout>
      <c:barChart>
        <c:barDir val="col"/>
        <c:grouping val="clustered"/>
        <c:varyColors val="0"/>
        <c:ser>
          <c:idx val="0"/>
          <c:order val="0"/>
          <c:tx>
            <c:strRef>
              <c:f>'Pivot Table'!$B$25</c:f>
              <c:strCache>
                <c:ptCount val="1"/>
                <c:pt idx="0">
                  <c:v>Average of Manufacturing lead time</c:v>
                </c:pt>
              </c:strCache>
            </c:strRef>
          </c:tx>
          <c:spPr>
            <a:solidFill>
              <a:schemeClr val="accent1"/>
            </a:solidFill>
            <a:ln>
              <a:noFill/>
            </a:ln>
            <a:effectLst/>
          </c:spPr>
          <c:invertIfNegative val="0"/>
          <c:cat>
            <c:strRef>
              <c:f>'Pivot Table'!$A$26:$A$31</c:f>
              <c:strCache>
                <c:ptCount val="5"/>
                <c:pt idx="0">
                  <c:v>Supplier 1</c:v>
                </c:pt>
                <c:pt idx="1">
                  <c:v>Supplier 2</c:v>
                </c:pt>
                <c:pt idx="2">
                  <c:v>Supplier 3</c:v>
                </c:pt>
                <c:pt idx="3">
                  <c:v>Supplier 4</c:v>
                </c:pt>
                <c:pt idx="4">
                  <c:v>Supplier 5</c:v>
                </c:pt>
              </c:strCache>
            </c:strRef>
          </c:cat>
          <c:val>
            <c:numRef>
              <c:f>'Pivot Table'!$B$26:$B$31</c:f>
              <c:numCache>
                <c:formatCode>General</c:formatCode>
                <c:ptCount val="5"/>
                <c:pt idx="0">
                  <c:v>12.592592592592593</c:v>
                </c:pt>
                <c:pt idx="1">
                  <c:v>15.590909090909092</c:v>
                </c:pt>
                <c:pt idx="2">
                  <c:v>14.933333333333334</c:v>
                </c:pt>
                <c:pt idx="3">
                  <c:v>15.333333333333334</c:v>
                </c:pt>
                <c:pt idx="4">
                  <c:v>16.333333333333332</c:v>
                </c:pt>
              </c:numCache>
            </c:numRef>
          </c:val>
          <c:extLst>
            <c:ext xmlns:c16="http://schemas.microsoft.com/office/drawing/2014/chart" uri="{C3380CC4-5D6E-409C-BE32-E72D297353CC}">
              <c16:uniqueId val="{00000000-0F2A-4311-8EF7-69FD308EA7EC}"/>
            </c:ext>
          </c:extLst>
        </c:ser>
        <c:dLbls>
          <c:showLegendKey val="0"/>
          <c:showVal val="0"/>
          <c:showCatName val="0"/>
          <c:showSerName val="0"/>
          <c:showPercent val="0"/>
          <c:showBubbleSize val="0"/>
        </c:dLbls>
        <c:gapWidth val="219"/>
        <c:axId val="1986566224"/>
        <c:axId val="1986556624"/>
      </c:barChart>
      <c:lineChart>
        <c:grouping val="standard"/>
        <c:varyColors val="0"/>
        <c:ser>
          <c:idx val="1"/>
          <c:order val="1"/>
          <c:tx>
            <c:strRef>
              <c:f>'Pivot Table'!$C$25</c:f>
              <c:strCache>
                <c:ptCount val="1"/>
                <c:pt idx="0">
                  <c:v>Average of Defect rates</c:v>
                </c:pt>
              </c:strCache>
            </c:strRef>
          </c:tx>
          <c:spPr>
            <a:ln w="28575" cap="rnd">
              <a:solidFill>
                <a:schemeClr val="accent2"/>
              </a:solidFill>
              <a:round/>
            </a:ln>
            <a:effectLst/>
          </c:spPr>
          <c:marker>
            <c:symbol val="none"/>
          </c:marker>
          <c:cat>
            <c:strRef>
              <c:f>'Pivot Table'!$A$26:$A$31</c:f>
              <c:strCache>
                <c:ptCount val="5"/>
                <c:pt idx="0">
                  <c:v>Supplier 1</c:v>
                </c:pt>
                <c:pt idx="1">
                  <c:v>Supplier 2</c:v>
                </c:pt>
                <c:pt idx="2">
                  <c:v>Supplier 3</c:v>
                </c:pt>
                <c:pt idx="3">
                  <c:v>Supplier 4</c:v>
                </c:pt>
                <c:pt idx="4">
                  <c:v>Supplier 5</c:v>
                </c:pt>
              </c:strCache>
            </c:strRef>
          </c:cat>
          <c:val>
            <c:numRef>
              <c:f>'Pivot Table'!$C$26:$C$31</c:f>
              <c:numCache>
                <c:formatCode>General</c:formatCode>
                <c:ptCount val="5"/>
                <c:pt idx="0">
                  <c:v>1.8036297116882485</c:v>
                </c:pt>
                <c:pt idx="1">
                  <c:v>2.3627501450718764</c:v>
                </c:pt>
                <c:pt idx="2">
                  <c:v>2.4657860307644657</c:v>
                </c:pt>
                <c:pt idx="3">
                  <c:v>2.3373974005913354</c:v>
                </c:pt>
                <c:pt idx="4">
                  <c:v>2.6654083441491982</c:v>
                </c:pt>
              </c:numCache>
            </c:numRef>
          </c:val>
          <c:smooth val="0"/>
          <c:extLst>
            <c:ext xmlns:c16="http://schemas.microsoft.com/office/drawing/2014/chart" uri="{C3380CC4-5D6E-409C-BE32-E72D297353CC}">
              <c16:uniqueId val="{00000009-0F2A-4311-8EF7-69FD308EA7EC}"/>
            </c:ext>
          </c:extLst>
        </c:ser>
        <c:dLbls>
          <c:showLegendKey val="0"/>
          <c:showVal val="0"/>
          <c:showCatName val="0"/>
          <c:showSerName val="0"/>
          <c:showPercent val="0"/>
          <c:showBubbleSize val="0"/>
        </c:dLbls>
        <c:marker val="1"/>
        <c:smooth val="0"/>
        <c:axId val="1986458704"/>
        <c:axId val="1986463984"/>
      </c:lineChart>
      <c:catAx>
        <c:axId val="19865662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6556624"/>
        <c:crosses val="autoZero"/>
        <c:auto val="1"/>
        <c:lblAlgn val="ctr"/>
        <c:lblOffset val="100"/>
        <c:noMultiLvlLbl val="0"/>
      </c:catAx>
      <c:valAx>
        <c:axId val="198655662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6566224"/>
        <c:crosses val="autoZero"/>
        <c:crossBetween val="between"/>
      </c:valAx>
      <c:valAx>
        <c:axId val="1986463984"/>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6458704"/>
        <c:crosses val="max"/>
        <c:crossBetween val="between"/>
      </c:valAx>
      <c:catAx>
        <c:axId val="1986458704"/>
        <c:scaling>
          <c:orientation val="minMax"/>
        </c:scaling>
        <c:delete val="1"/>
        <c:axPos val="b"/>
        <c:numFmt formatCode="General" sourceLinked="1"/>
        <c:majorTickMark val="out"/>
        <c:minorTickMark val="none"/>
        <c:tickLblPos val="nextTo"/>
        <c:crossAx val="198646398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31750" cap="flat" cmpd="sng" algn="ctr">
      <a:solidFill>
        <a:srgbClr val="FFC000"/>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 Chain Performance Dashboard.xlsx]Pivot Table!PivotTable20</c:name>
    <c:fmtId val="4"/>
  </c:pivotSource>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b="1"/>
              <a:t>Revenue by</a:t>
            </a:r>
            <a:r>
              <a:rPr lang="en-US" sz="1600" b="1" baseline="0"/>
              <a:t> Location and Product Type</a:t>
            </a:r>
            <a:endParaRPr lang="en-US" sz="1600" b="1"/>
          </a:p>
        </c:rich>
      </c:tx>
      <c:layout>
        <c:manualLayout>
          <c:xMode val="edge"/>
          <c:yMode val="edge"/>
          <c:x val="1.7617916353299786E-2"/>
          <c:y val="3.0761948196740826E-2"/>
        </c:manualLayout>
      </c:layout>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Table'!$B$10:$B$11</c:f>
              <c:strCache>
                <c:ptCount val="1"/>
                <c:pt idx="0">
                  <c:v>cosmetics</c:v>
                </c:pt>
              </c:strCache>
            </c:strRef>
          </c:tx>
          <c:spPr>
            <a:solidFill>
              <a:schemeClr val="accent1"/>
            </a:solidFill>
            <a:ln>
              <a:noFill/>
            </a:ln>
            <a:effectLst/>
          </c:spPr>
          <c:invertIfNegative val="0"/>
          <c:cat>
            <c:strRef>
              <c:f>'Pivot Table'!$A$12:$A$16</c:f>
              <c:strCache>
                <c:ptCount val="5"/>
                <c:pt idx="0">
                  <c:v>Mumbai</c:v>
                </c:pt>
                <c:pt idx="1">
                  <c:v>Kolkata</c:v>
                </c:pt>
                <c:pt idx="2">
                  <c:v>Chennai</c:v>
                </c:pt>
                <c:pt idx="3">
                  <c:v>Bangalore</c:v>
                </c:pt>
                <c:pt idx="4">
                  <c:v>Delhi</c:v>
                </c:pt>
              </c:strCache>
            </c:strRef>
          </c:cat>
          <c:val>
            <c:numRef>
              <c:f>'Pivot Table'!$B$12:$B$16</c:f>
              <c:numCache>
                <c:formatCode>General</c:formatCode>
                <c:ptCount val="5"/>
                <c:pt idx="0">
                  <c:v>49156.506476559756</c:v>
                </c:pt>
                <c:pt idx="1">
                  <c:v>24163.57185549516</c:v>
                </c:pt>
                <c:pt idx="2">
                  <c:v>31461.947457005252</c:v>
                </c:pt>
                <c:pt idx="3">
                  <c:v>19309.562879827521</c:v>
                </c:pt>
                <c:pt idx="4">
                  <c:v>37429.677330595317</c:v>
                </c:pt>
              </c:numCache>
            </c:numRef>
          </c:val>
          <c:extLst>
            <c:ext xmlns:c16="http://schemas.microsoft.com/office/drawing/2014/chart" uri="{C3380CC4-5D6E-409C-BE32-E72D297353CC}">
              <c16:uniqueId val="{0000001B-B01C-4939-9556-26482A58123C}"/>
            </c:ext>
          </c:extLst>
        </c:ser>
        <c:ser>
          <c:idx val="1"/>
          <c:order val="1"/>
          <c:tx>
            <c:strRef>
              <c:f>'Pivot Table'!$C$10:$C$11</c:f>
              <c:strCache>
                <c:ptCount val="1"/>
                <c:pt idx="0">
                  <c:v>haircare</c:v>
                </c:pt>
              </c:strCache>
            </c:strRef>
          </c:tx>
          <c:spPr>
            <a:solidFill>
              <a:schemeClr val="accent2"/>
            </a:solidFill>
            <a:ln>
              <a:noFill/>
            </a:ln>
            <a:effectLst/>
          </c:spPr>
          <c:invertIfNegative val="0"/>
          <c:cat>
            <c:strRef>
              <c:f>'Pivot Table'!$A$12:$A$16</c:f>
              <c:strCache>
                <c:ptCount val="5"/>
                <c:pt idx="0">
                  <c:v>Mumbai</c:v>
                </c:pt>
                <c:pt idx="1">
                  <c:v>Kolkata</c:v>
                </c:pt>
                <c:pt idx="2">
                  <c:v>Chennai</c:v>
                </c:pt>
                <c:pt idx="3">
                  <c:v>Bangalore</c:v>
                </c:pt>
                <c:pt idx="4">
                  <c:v>Delhi</c:v>
                </c:pt>
              </c:strCache>
            </c:strRef>
          </c:cat>
          <c:val>
            <c:numRef>
              <c:f>'Pivot Table'!$C$12:$C$16</c:f>
              <c:numCache>
                <c:formatCode>General</c:formatCode>
                <c:ptCount val="5"/>
                <c:pt idx="0">
                  <c:v>44423.981963938248</c:v>
                </c:pt>
                <c:pt idx="1">
                  <c:v>35027.713247250402</c:v>
                </c:pt>
                <c:pt idx="2">
                  <c:v>28723.448931953109</c:v>
                </c:pt>
                <c:pt idx="3">
                  <c:v>51654.345695609045</c:v>
                </c:pt>
                <c:pt idx="4">
                  <c:v>14625.900766711349</c:v>
                </c:pt>
              </c:numCache>
            </c:numRef>
          </c:val>
          <c:extLst>
            <c:ext xmlns:c16="http://schemas.microsoft.com/office/drawing/2014/chart" uri="{C3380CC4-5D6E-409C-BE32-E72D297353CC}">
              <c16:uniqueId val="{0000001E-B01C-4939-9556-26482A58123C}"/>
            </c:ext>
          </c:extLst>
        </c:ser>
        <c:ser>
          <c:idx val="2"/>
          <c:order val="2"/>
          <c:tx>
            <c:strRef>
              <c:f>'Pivot Table'!$D$10:$D$11</c:f>
              <c:strCache>
                <c:ptCount val="1"/>
                <c:pt idx="0">
                  <c:v>skincare</c:v>
                </c:pt>
              </c:strCache>
            </c:strRef>
          </c:tx>
          <c:spPr>
            <a:solidFill>
              <a:schemeClr val="accent3"/>
            </a:solidFill>
            <a:ln>
              <a:noFill/>
            </a:ln>
            <a:effectLst/>
          </c:spPr>
          <c:invertIfNegative val="0"/>
          <c:cat>
            <c:strRef>
              <c:f>'Pivot Table'!$A$12:$A$16</c:f>
              <c:strCache>
                <c:ptCount val="5"/>
                <c:pt idx="0">
                  <c:v>Mumbai</c:v>
                </c:pt>
                <c:pt idx="1">
                  <c:v>Kolkata</c:v>
                </c:pt>
                <c:pt idx="2">
                  <c:v>Chennai</c:v>
                </c:pt>
                <c:pt idx="3">
                  <c:v>Bangalore</c:v>
                </c:pt>
                <c:pt idx="4">
                  <c:v>Delhi</c:v>
                </c:pt>
              </c:strCache>
            </c:strRef>
          </c:cat>
          <c:val>
            <c:numRef>
              <c:f>'Pivot Table'!$D$12:$D$16</c:f>
              <c:numCache>
                <c:formatCode>General</c:formatCode>
                <c:ptCount val="5"/>
                <c:pt idx="0">
                  <c:v>44174.538436971292</c:v>
                </c:pt>
                <c:pt idx="1">
                  <c:v>77886.265902635438</c:v>
                </c:pt>
                <c:pt idx="2">
                  <c:v>58957.419359110936</c:v>
                </c:pt>
                <c:pt idx="3">
                  <c:v>31637.815306799101</c:v>
                </c:pt>
                <c:pt idx="4">
                  <c:v>28972.123127546263</c:v>
                </c:pt>
              </c:numCache>
            </c:numRef>
          </c:val>
          <c:extLst>
            <c:ext xmlns:c16="http://schemas.microsoft.com/office/drawing/2014/chart" uri="{C3380CC4-5D6E-409C-BE32-E72D297353CC}">
              <c16:uniqueId val="{0000001F-B01C-4939-9556-26482A58123C}"/>
            </c:ext>
          </c:extLst>
        </c:ser>
        <c:dLbls>
          <c:showLegendKey val="0"/>
          <c:showVal val="0"/>
          <c:showCatName val="0"/>
          <c:showSerName val="0"/>
          <c:showPercent val="0"/>
          <c:showBubbleSize val="0"/>
        </c:dLbls>
        <c:gapWidth val="219"/>
        <c:overlap val="-27"/>
        <c:axId val="1986556144"/>
        <c:axId val="1986567664"/>
      </c:barChart>
      <c:catAx>
        <c:axId val="19865561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6567664"/>
        <c:crosses val="autoZero"/>
        <c:auto val="1"/>
        <c:lblAlgn val="ctr"/>
        <c:lblOffset val="100"/>
        <c:noMultiLvlLbl val="0"/>
      </c:catAx>
      <c:valAx>
        <c:axId val="198656766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6556144"/>
        <c:crosses val="autoZero"/>
        <c:crossBetween val="between"/>
      </c:valAx>
      <c:spPr>
        <a:noFill/>
        <a:ln>
          <a:noFill/>
        </a:ln>
        <a:effectLst/>
      </c:spPr>
    </c:plotArea>
    <c:legend>
      <c:legendPos val="r"/>
      <c:layout>
        <c:manualLayout>
          <c:xMode val="edge"/>
          <c:yMode val="edge"/>
          <c:x val="0.82974743432273435"/>
          <c:y val="0.37447655676596425"/>
          <c:w val="0.10261471827005374"/>
          <c:h val="0.2781587757360560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31750" cap="flat" cmpd="sng" algn="ctr">
      <a:solidFill>
        <a:srgbClr val="FFC000"/>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 Chain Performance Dashboard.xlsx]Pivot Table!PivotTable21</c:name>
    <c:fmtId val="4"/>
  </c:pivotSource>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b="1"/>
              <a:t>TOP 10 SKUs by Revenue</a:t>
            </a:r>
          </a:p>
        </c:rich>
      </c:tx>
      <c:layout>
        <c:manualLayout>
          <c:xMode val="edge"/>
          <c:yMode val="edge"/>
          <c:x val="2.0764891156475854E-2"/>
          <c:y val="2.9695168572691201E-2"/>
        </c:manualLayout>
      </c:layout>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Table'!$K$10</c:f>
              <c:strCache>
                <c:ptCount val="1"/>
                <c:pt idx="0">
                  <c:v>Total</c:v>
                </c:pt>
              </c:strCache>
            </c:strRef>
          </c:tx>
          <c:spPr>
            <a:solidFill>
              <a:schemeClr val="accent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Table'!$J$11:$J$20</c:f>
              <c:strCache>
                <c:ptCount val="10"/>
                <c:pt idx="0">
                  <c:v>SKU51</c:v>
                </c:pt>
                <c:pt idx="1">
                  <c:v>SKU38</c:v>
                </c:pt>
                <c:pt idx="2">
                  <c:v>SKU31</c:v>
                </c:pt>
                <c:pt idx="3">
                  <c:v>SKU90</c:v>
                </c:pt>
                <c:pt idx="4">
                  <c:v>SKU2</c:v>
                </c:pt>
                <c:pt idx="5">
                  <c:v>SKU32</c:v>
                </c:pt>
                <c:pt idx="6">
                  <c:v>SKU67</c:v>
                </c:pt>
                <c:pt idx="7">
                  <c:v>SKU88</c:v>
                </c:pt>
                <c:pt idx="8">
                  <c:v>SKU52</c:v>
                </c:pt>
                <c:pt idx="9">
                  <c:v>SKU18</c:v>
                </c:pt>
              </c:strCache>
            </c:strRef>
          </c:cat>
          <c:val>
            <c:numRef>
              <c:f>'Pivot Table'!$K$11:$K$20</c:f>
              <c:numCache>
                <c:formatCode>General</c:formatCode>
                <c:ptCount val="10"/>
                <c:pt idx="0">
                  <c:v>9866.4654579796897</c:v>
                </c:pt>
                <c:pt idx="1">
                  <c:v>9692.3180402184298</c:v>
                </c:pt>
                <c:pt idx="2">
                  <c:v>9655.1351027193905</c:v>
                </c:pt>
                <c:pt idx="3">
                  <c:v>9592.6335702803099</c:v>
                </c:pt>
                <c:pt idx="4">
                  <c:v>9577.7496258687297</c:v>
                </c:pt>
                <c:pt idx="5">
                  <c:v>9571.5504873278096</c:v>
                </c:pt>
                <c:pt idx="6">
                  <c:v>9473.7980325083299</c:v>
                </c:pt>
                <c:pt idx="7">
                  <c:v>9444.7420330629793</c:v>
                </c:pt>
                <c:pt idx="8">
                  <c:v>9435.7626089121295</c:v>
                </c:pt>
                <c:pt idx="9">
                  <c:v>9364.6735050761708</c:v>
                </c:pt>
              </c:numCache>
            </c:numRef>
          </c:val>
          <c:extLst>
            <c:ext xmlns:c16="http://schemas.microsoft.com/office/drawing/2014/chart" uri="{C3380CC4-5D6E-409C-BE32-E72D297353CC}">
              <c16:uniqueId val="{00000001-6D63-4529-8993-86B8DB9C198B}"/>
            </c:ext>
          </c:extLst>
        </c:ser>
        <c:dLbls>
          <c:dLblPos val="outEnd"/>
          <c:showLegendKey val="0"/>
          <c:showVal val="1"/>
          <c:showCatName val="0"/>
          <c:showSerName val="0"/>
          <c:showPercent val="0"/>
          <c:showBubbleSize val="0"/>
        </c:dLbls>
        <c:gapWidth val="219"/>
        <c:overlap val="-27"/>
        <c:axId val="1986505264"/>
        <c:axId val="1986505744"/>
      </c:barChart>
      <c:catAx>
        <c:axId val="1986505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6505744"/>
        <c:crosses val="autoZero"/>
        <c:auto val="1"/>
        <c:lblAlgn val="ctr"/>
        <c:lblOffset val="100"/>
        <c:noMultiLvlLbl val="0"/>
      </c:catAx>
      <c:valAx>
        <c:axId val="198650574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65052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31750" cap="flat" cmpd="sng" algn="ctr">
      <a:solidFill>
        <a:srgbClr val="FFC000"/>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 Chain Performance Dashboard.xlsx]Pivot Table!PivotTable26</c:name>
    <c:fmtId val="4"/>
  </c:pivotSource>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b="1"/>
              <a:t>Manufacturing Costs per Unit</a:t>
            </a:r>
            <a:r>
              <a:rPr lang="en-US" sz="1600" b="1" baseline="0"/>
              <a:t> by Product Type and Suppliers</a:t>
            </a:r>
            <a:endParaRPr lang="en-US" sz="1600" b="1"/>
          </a:p>
        </c:rich>
      </c:tx>
      <c:layout>
        <c:manualLayout>
          <c:xMode val="edge"/>
          <c:yMode val="edge"/>
          <c:x val="2.1486438886932017E-2"/>
          <c:y val="3.9145511366068753E-2"/>
        </c:manualLayout>
      </c:layout>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'Pivot Table'!$H$25:$H$26</c:f>
              <c:strCache>
                <c:ptCount val="1"/>
                <c:pt idx="0">
                  <c:v>cosmetics</c:v>
                </c:pt>
              </c:strCache>
            </c:strRef>
          </c:tx>
          <c:spPr>
            <a:solidFill>
              <a:schemeClr val="accent1"/>
            </a:solidFill>
            <a:ln>
              <a:noFill/>
            </a:ln>
            <a:effectLst/>
          </c:spPr>
          <c:invertIfNegative val="0"/>
          <c:cat>
            <c:strRef>
              <c:f>'Pivot Table'!$G$27:$G$31</c:f>
              <c:strCache>
                <c:ptCount val="5"/>
                <c:pt idx="0">
                  <c:v>Supplier 1</c:v>
                </c:pt>
                <c:pt idx="1">
                  <c:v>Supplier 2</c:v>
                </c:pt>
                <c:pt idx="2">
                  <c:v>Supplier 3</c:v>
                </c:pt>
                <c:pt idx="3">
                  <c:v>Supplier 4</c:v>
                </c:pt>
                <c:pt idx="4">
                  <c:v>Supplier 5</c:v>
                </c:pt>
              </c:strCache>
            </c:strRef>
          </c:cat>
          <c:val>
            <c:numRef>
              <c:f>'Pivot Table'!$H$27:$H$31</c:f>
              <c:numCache>
                <c:formatCode>General</c:formatCode>
                <c:ptCount val="5"/>
                <c:pt idx="0">
                  <c:v>44.095979047180606</c:v>
                </c:pt>
                <c:pt idx="1">
                  <c:v>44.37545325943826</c:v>
                </c:pt>
                <c:pt idx="2">
                  <c:v>17.803756331391199</c:v>
                </c:pt>
                <c:pt idx="3">
                  <c:v>49.383064260780429</c:v>
                </c:pt>
                <c:pt idx="4">
                  <c:v>40.676459055426108</c:v>
                </c:pt>
              </c:numCache>
            </c:numRef>
          </c:val>
          <c:extLst>
            <c:ext xmlns:c16="http://schemas.microsoft.com/office/drawing/2014/chart" uri="{C3380CC4-5D6E-409C-BE32-E72D297353CC}">
              <c16:uniqueId val="{00000003-0752-4183-8AB5-D3721B075793}"/>
            </c:ext>
          </c:extLst>
        </c:ser>
        <c:ser>
          <c:idx val="1"/>
          <c:order val="1"/>
          <c:tx>
            <c:strRef>
              <c:f>'Pivot Table'!$I$25:$I$26</c:f>
              <c:strCache>
                <c:ptCount val="1"/>
                <c:pt idx="0">
                  <c:v>haircare</c:v>
                </c:pt>
              </c:strCache>
            </c:strRef>
          </c:tx>
          <c:spPr>
            <a:solidFill>
              <a:schemeClr val="accent2"/>
            </a:solidFill>
            <a:ln>
              <a:noFill/>
            </a:ln>
            <a:effectLst/>
          </c:spPr>
          <c:invertIfNegative val="0"/>
          <c:cat>
            <c:strRef>
              <c:f>'Pivot Table'!$G$27:$G$31</c:f>
              <c:strCache>
                <c:ptCount val="5"/>
                <c:pt idx="0">
                  <c:v>Supplier 1</c:v>
                </c:pt>
                <c:pt idx="1">
                  <c:v>Supplier 2</c:v>
                </c:pt>
                <c:pt idx="2">
                  <c:v>Supplier 3</c:v>
                </c:pt>
                <c:pt idx="3">
                  <c:v>Supplier 4</c:v>
                </c:pt>
                <c:pt idx="4">
                  <c:v>Supplier 5</c:v>
                </c:pt>
              </c:strCache>
            </c:strRef>
          </c:cat>
          <c:val>
            <c:numRef>
              <c:f>'Pivot Table'!$I$27:$I$31</c:f>
              <c:numCache>
                <c:formatCode>General</c:formatCode>
                <c:ptCount val="5"/>
                <c:pt idx="0">
                  <c:v>42.599572619478536</c:v>
                </c:pt>
                <c:pt idx="1">
                  <c:v>47.051472446078975</c:v>
                </c:pt>
                <c:pt idx="2">
                  <c:v>45.991945028328558</c:v>
                </c:pt>
                <c:pt idx="3">
                  <c:v>58.86966180659855</c:v>
                </c:pt>
                <c:pt idx="4">
                  <c:v>36.350711383878654</c:v>
                </c:pt>
              </c:numCache>
            </c:numRef>
          </c:val>
          <c:extLst>
            <c:ext xmlns:c16="http://schemas.microsoft.com/office/drawing/2014/chart" uri="{C3380CC4-5D6E-409C-BE32-E72D297353CC}">
              <c16:uniqueId val="{00000006-0752-4183-8AB5-D3721B075793}"/>
            </c:ext>
          </c:extLst>
        </c:ser>
        <c:ser>
          <c:idx val="2"/>
          <c:order val="2"/>
          <c:tx>
            <c:strRef>
              <c:f>'Pivot Table'!$J$25:$J$26</c:f>
              <c:strCache>
                <c:ptCount val="1"/>
                <c:pt idx="0">
                  <c:v>skincare</c:v>
                </c:pt>
              </c:strCache>
            </c:strRef>
          </c:tx>
          <c:spPr>
            <a:solidFill>
              <a:schemeClr val="accent3"/>
            </a:solidFill>
            <a:ln>
              <a:noFill/>
            </a:ln>
            <a:effectLst/>
          </c:spPr>
          <c:invertIfNegative val="0"/>
          <c:cat>
            <c:strRef>
              <c:f>'Pivot Table'!$G$27:$G$31</c:f>
              <c:strCache>
                <c:ptCount val="5"/>
                <c:pt idx="0">
                  <c:v>Supplier 1</c:v>
                </c:pt>
                <c:pt idx="1">
                  <c:v>Supplier 2</c:v>
                </c:pt>
                <c:pt idx="2">
                  <c:v>Supplier 3</c:v>
                </c:pt>
                <c:pt idx="3">
                  <c:v>Supplier 4</c:v>
                </c:pt>
                <c:pt idx="4">
                  <c:v>Supplier 5</c:v>
                </c:pt>
              </c:strCache>
            </c:strRef>
          </c:cat>
          <c:val>
            <c:numRef>
              <c:f>'Pivot Table'!$J$27:$J$31</c:f>
              <c:numCache>
                <c:formatCode>General</c:formatCode>
                <c:ptCount val="5"/>
                <c:pt idx="0">
                  <c:v>46.679267855872887</c:v>
                </c:pt>
                <c:pt idx="1">
                  <c:v>26.910482964500414</c:v>
                </c:pt>
                <c:pt idx="2">
                  <c:v>45.194259803742199</c:v>
                </c:pt>
                <c:pt idx="3">
                  <c:v>85.636552191161599</c:v>
                </c:pt>
                <c:pt idx="4">
                  <c:v>53.67004503970189</c:v>
                </c:pt>
              </c:numCache>
            </c:numRef>
          </c:val>
          <c:extLst>
            <c:ext xmlns:c16="http://schemas.microsoft.com/office/drawing/2014/chart" uri="{C3380CC4-5D6E-409C-BE32-E72D297353CC}">
              <c16:uniqueId val="{00000007-0752-4183-8AB5-D3721B075793}"/>
            </c:ext>
          </c:extLst>
        </c:ser>
        <c:dLbls>
          <c:showLegendKey val="0"/>
          <c:showVal val="0"/>
          <c:showCatName val="0"/>
          <c:showSerName val="0"/>
          <c:showPercent val="0"/>
          <c:showBubbleSize val="0"/>
        </c:dLbls>
        <c:gapWidth val="150"/>
        <c:overlap val="100"/>
        <c:axId val="1909850176"/>
        <c:axId val="1909860256"/>
      </c:barChart>
      <c:catAx>
        <c:axId val="19098501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9860256"/>
        <c:crosses val="autoZero"/>
        <c:auto val="1"/>
        <c:lblAlgn val="ctr"/>
        <c:lblOffset val="100"/>
        <c:noMultiLvlLbl val="0"/>
      </c:catAx>
      <c:valAx>
        <c:axId val="190986025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98501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31750" cap="flat" cmpd="sng" algn="ctr">
      <a:solidFill>
        <a:srgbClr val="FFC000"/>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 Chain Performance Dashboard.xlsx]Pivot Table!PivotTable28</c:name>
    <c:fmtId val="4"/>
  </c:pivotSource>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b="1"/>
              <a:t>Total</a:t>
            </a:r>
            <a:r>
              <a:rPr lang="en-US" sz="1600" b="1" baseline="0"/>
              <a:t> Profit by Product Type</a:t>
            </a:r>
            <a:endParaRPr lang="en-US" sz="1600" b="1"/>
          </a:p>
        </c:rich>
      </c:tx>
      <c:layout>
        <c:manualLayout>
          <c:xMode val="edge"/>
          <c:yMode val="edge"/>
          <c:x val="2.2166195094236944E-2"/>
          <c:y val="3.9422457356510864E-2"/>
        </c:manualLayout>
      </c:layout>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s>
    <c:plotArea>
      <c:layout>
        <c:manualLayout>
          <c:layoutTarget val="inner"/>
          <c:xMode val="edge"/>
          <c:yMode val="edge"/>
          <c:x val="0.28539509815325936"/>
          <c:y val="0.12235465943656938"/>
          <c:w val="0.41969833162371473"/>
          <c:h val="0.84088583287486063"/>
        </c:manualLayout>
      </c:layout>
      <c:pieChart>
        <c:varyColors val="1"/>
        <c:ser>
          <c:idx val="0"/>
          <c:order val="0"/>
          <c:tx>
            <c:strRef>
              <c:f>'Pivot Table'!$H$47</c:f>
              <c:strCache>
                <c:ptCount val="1"/>
                <c:pt idx="0">
                  <c:v>Sum of Profit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199-4DFD-9E08-B50B3D246E4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199-4DFD-9E08-B50B3D246E4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8199-4DFD-9E08-B50B3D246E4E}"/>
              </c:ext>
            </c:extLst>
          </c:dPt>
          <c:dLbls>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Table'!$G$48:$G$50</c:f>
              <c:strCache>
                <c:ptCount val="3"/>
                <c:pt idx="0">
                  <c:v>skincare</c:v>
                </c:pt>
                <c:pt idx="1">
                  <c:v>haircare</c:v>
                </c:pt>
                <c:pt idx="2">
                  <c:v>cosmetics</c:v>
                </c:pt>
              </c:strCache>
            </c:strRef>
          </c:cat>
          <c:val>
            <c:numRef>
              <c:f>'Pivot Table'!$H$48:$H$50</c:f>
              <c:numCache>
                <c:formatCode>0.00%</c:formatCode>
                <c:ptCount val="3"/>
                <c:pt idx="0">
                  <c:v>0.41815724534801402</c:v>
                </c:pt>
                <c:pt idx="1">
                  <c:v>0.299471021786894</c:v>
                </c:pt>
                <c:pt idx="2">
                  <c:v>0.28237173286509248</c:v>
                </c:pt>
              </c:numCache>
            </c:numRef>
          </c:val>
          <c:extLst>
            <c:ext xmlns:c16="http://schemas.microsoft.com/office/drawing/2014/chart" uri="{C3380CC4-5D6E-409C-BE32-E72D297353CC}">
              <c16:uniqueId val="{0000000E-F288-466F-8C3D-6AA7C0BC8CBD}"/>
            </c:ext>
          </c:extLst>
        </c:ser>
        <c:ser>
          <c:idx val="1"/>
          <c:order val="1"/>
          <c:tx>
            <c:strRef>
              <c:f>'Pivot Table'!$I$47</c:f>
              <c:strCache>
                <c:ptCount val="1"/>
                <c:pt idx="0">
                  <c:v>Sum of Margin</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7-8199-4DFD-9E08-B50B3D246E4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9-8199-4DFD-9E08-B50B3D246E4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B-8199-4DFD-9E08-B50B3D246E4E}"/>
              </c:ext>
            </c:extLst>
          </c:dPt>
          <c:cat>
            <c:strRef>
              <c:f>'Pivot Table'!$G$48:$G$50</c:f>
              <c:strCache>
                <c:ptCount val="3"/>
                <c:pt idx="0">
                  <c:v>skincare</c:v>
                </c:pt>
                <c:pt idx="1">
                  <c:v>haircare</c:v>
                </c:pt>
                <c:pt idx="2">
                  <c:v>cosmetics</c:v>
                </c:pt>
              </c:strCache>
            </c:strRef>
          </c:cat>
          <c:val>
            <c:numRef>
              <c:f>'Pivot Table'!$I$48:$I$50</c:f>
              <c:numCache>
                <c:formatCode>General</c:formatCode>
                <c:ptCount val="3"/>
                <c:pt idx="0">
                  <c:v>9.8697964281418056</c:v>
                </c:pt>
                <c:pt idx="1">
                  <c:v>9.0673305551370937</c:v>
                </c:pt>
                <c:pt idx="2">
                  <c:v>11.084128772904903</c:v>
                </c:pt>
              </c:numCache>
            </c:numRef>
          </c:val>
          <c:extLst>
            <c:ext xmlns:c16="http://schemas.microsoft.com/office/drawing/2014/chart" uri="{C3380CC4-5D6E-409C-BE32-E72D297353CC}">
              <c16:uniqueId val="{0000000F-F288-466F-8C3D-6AA7C0BC8CBD}"/>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76262712975837588"/>
          <c:y val="0.38174423006844371"/>
          <c:w val="0.22394069111205753"/>
          <c:h val="0.36297077210808637"/>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31750" cap="flat" cmpd="sng" algn="ctr">
      <a:solidFill>
        <a:srgbClr val="FFC000"/>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7</xdr:col>
      <xdr:colOff>2676720</xdr:colOff>
      <xdr:row>16</xdr:row>
      <xdr:rowOff>6968</xdr:rowOff>
    </xdr:from>
    <xdr:to>
      <xdr:col>12</xdr:col>
      <xdr:colOff>782052</xdr:colOff>
      <xdr:row>31</xdr:row>
      <xdr:rowOff>60469</xdr:rowOff>
    </xdr:to>
    <xdr:graphicFrame macro="">
      <xdr:nvGraphicFramePr>
        <xdr:cNvPr id="2" name="Chart 1">
          <a:extLst>
            <a:ext uri="{FF2B5EF4-FFF2-40B4-BE49-F238E27FC236}">
              <a16:creationId xmlns:a16="http://schemas.microsoft.com/office/drawing/2014/main" id="{E1BF7A57-EC84-40F3-803F-B90C1FE9ACE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2659223</xdr:colOff>
      <xdr:row>32</xdr:row>
      <xdr:rowOff>27925</xdr:rowOff>
    </xdr:from>
    <xdr:to>
      <xdr:col>12</xdr:col>
      <xdr:colOff>761999</xdr:colOff>
      <xdr:row>48</xdr:row>
      <xdr:rowOff>13606</xdr:rowOff>
    </xdr:to>
    <xdr:graphicFrame macro="">
      <xdr:nvGraphicFramePr>
        <xdr:cNvPr id="3" name="Chart 2">
          <a:extLst>
            <a:ext uri="{FF2B5EF4-FFF2-40B4-BE49-F238E27FC236}">
              <a16:creationId xmlns:a16="http://schemas.microsoft.com/office/drawing/2014/main" id="{4EC5D9DE-9DBA-456C-9662-4A6246A8B0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1005054</xdr:colOff>
      <xdr:row>15</xdr:row>
      <xdr:rowOff>174019</xdr:rowOff>
    </xdr:from>
    <xdr:to>
      <xdr:col>17</xdr:col>
      <xdr:colOff>14654</xdr:colOff>
      <xdr:row>31</xdr:row>
      <xdr:rowOff>69900</xdr:rowOff>
    </xdr:to>
    <xdr:graphicFrame macro="">
      <xdr:nvGraphicFramePr>
        <xdr:cNvPr id="4" name="Chart 3">
          <a:extLst>
            <a:ext uri="{FF2B5EF4-FFF2-40B4-BE49-F238E27FC236}">
              <a16:creationId xmlns:a16="http://schemas.microsoft.com/office/drawing/2014/main" id="{37652C7E-A782-4FB7-B3B4-63D1A990BE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305941</xdr:colOff>
      <xdr:row>32</xdr:row>
      <xdr:rowOff>20499</xdr:rowOff>
    </xdr:from>
    <xdr:to>
      <xdr:col>7</xdr:col>
      <xdr:colOff>2321719</xdr:colOff>
      <xdr:row>48</xdr:row>
      <xdr:rowOff>20199</xdr:rowOff>
    </xdr:to>
    <xdr:graphicFrame macro="">
      <xdr:nvGraphicFramePr>
        <xdr:cNvPr id="6" name="Chart 5">
          <a:extLst>
            <a:ext uri="{FF2B5EF4-FFF2-40B4-BE49-F238E27FC236}">
              <a16:creationId xmlns:a16="http://schemas.microsoft.com/office/drawing/2014/main" id="{7A5AB777-20EB-44C4-9D4E-F580A19529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1003183</xdr:colOff>
      <xdr:row>32</xdr:row>
      <xdr:rowOff>37661</xdr:rowOff>
    </xdr:from>
    <xdr:to>
      <xdr:col>17</xdr:col>
      <xdr:colOff>14655</xdr:colOff>
      <xdr:row>47</xdr:row>
      <xdr:rowOff>157341</xdr:rowOff>
    </xdr:to>
    <xdr:graphicFrame macro="">
      <xdr:nvGraphicFramePr>
        <xdr:cNvPr id="7" name="Chart 6">
          <a:extLst>
            <a:ext uri="{FF2B5EF4-FFF2-40B4-BE49-F238E27FC236}">
              <a16:creationId xmlns:a16="http://schemas.microsoft.com/office/drawing/2014/main" id="{13D4AFBC-6CB8-4B04-8B3E-621BD24DFE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296056</xdr:colOff>
      <xdr:row>16</xdr:row>
      <xdr:rowOff>21562</xdr:rowOff>
    </xdr:from>
    <xdr:to>
      <xdr:col>7</xdr:col>
      <xdr:colOff>2333625</xdr:colOff>
      <xdr:row>31</xdr:row>
      <xdr:rowOff>32691</xdr:rowOff>
    </xdr:to>
    <xdr:graphicFrame macro="">
      <xdr:nvGraphicFramePr>
        <xdr:cNvPr id="10" name="Chart 9">
          <a:extLst>
            <a:ext uri="{FF2B5EF4-FFF2-40B4-BE49-F238E27FC236}">
              <a16:creationId xmlns:a16="http://schemas.microsoft.com/office/drawing/2014/main" id="{F5C3BF97-3824-4E86-8A2E-5541F20308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5</xdr:col>
      <xdr:colOff>63743</xdr:colOff>
      <xdr:row>9</xdr:row>
      <xdr:rowOff>83335</xdr:rowOff>
    </xdr:from>
    <xdr:to>
      <xdr:col>6</xdr:col>
      <xdr:colOff>1043655</xdr:colOff>
      <xdr:row>14</xdr:row>
      <xdr:rowOff>15646</xdr:rowOff>
    </xdr:to>
    <mc:AlternateContent xmlns:mc="http://schemas.openxmlformats.org/markup-compatibility/2006" xmlns:a14="http://schemas.microsoft.com/office/drawing/2010/main">
      <mc:Choice Requires="a14">
        <xdr:graphicFrame macro="">
          <xdr:nvGraphicFramePr>
            <xdr:cNvPr id="17" name="Product type">
              <a:extLst>
                <a:ext uri="{FF2B5EF4-FFF2-40B4-BE49-F238E27FC236}">
                  <a16:creationId xmlns:a16="http://schemas.microsoft.com/office/drawing/2014/main" id="{550772DD-BCE0-72FD-7000-86268CD125C8}"/>
                </a:ext>
              </a:extLst>
            </xdr:cNvPr>
            <xdr:cNvGraphicFramePr/>
          </xdr:nvGraphicFramePr>
          <xdr:xfrm>
            <a:off x="0" y="0"/>
            <a:ext cx="0" cy="0"/>
          </xdr:xfrm>
          <a:graphic>
            <a:graphicData uri="http://schemas.microsoft.com/office/drawing/2010/slicer">
              <sle:slicer xmlns:sle="http://schemas.microsoft.com/office/drawing/2010/slicer" name="Product type"/>
            </a:graphicData>
          </a:graphic>
        </xdr:graphicFrame>
      </mc:Choice>
      <mc:Fallback xmlns="">
        <xdr:sp macro="" textlink="">
          <xdr:nvSpPr>
            <xdr:cNvPr id="0" name=""/>
            <xdr:cNvSpPr>
              <a:spLocks noTextEdit="1"/>
            </xdr:cNvSpPr>
          </xdr:nvSpPr>
          <xdr:spPr>
            <a:xfrm>
              <a:off x="3602810" y="1607335"/>
              <a:ext cx="3248978" cy="77897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1453324</xdr:colOff>
      <xdr:row>9</xdr:row>
      <xdr:rowOff>29431</xdr:rowOff>
    </xdr:from>
    <xdr:to>
      <xdr:col>7</xdr:col>
      <xdr:colOff>2687782</xdr:colOff>
      <xdr:row>14</xdr:row>
      <xdr:rowOff>70034</xdr:rowOff>
    </xdr:to>
    <mc:AlternateContent xmlns:mc="http://schemas.openxmlformats.org/markup-compatibility/2006" xmlns:a14="http://schemas.microsoft.com/office/drawing/2010/main">
      <mc:Choice Requires="a14">
        <xdr:graphicFrame macro="">
          <xdr:nvGraphicFramePr>
            <xdr:cNvPr id="18" name="Customer demographics">
              <a:extLst>
                <a:ext uri="{FF2B5EF4-FFF2-40B4-BE49-F238E27FC236}">
                  <a16:creationId xmlns:a16="http://schemas.microsoft.com/office/drawing/2014/main" id="{22D1658B-8A75-E553-CB08-6A682E23A61A}"/>
                </a:ext>
              </a:extLst>
            </xdr:cNvPr>
            <xdr:cNvGraphicFramePr/>
          </xdr:nvGraphicFramePr>
          <xdr:xfrm>
            <a:off x="0" y="0"/>
            <a:ext cx="0" cy="0"/>
          </xdr:xfrm>
          <a:graphic>
            <a:graphicData uri="http://schemas.microsoft.com/office/drawing/2010/slicer">
              <sle:slicer xmlns:sle="http://schemas.microsoft.com/office/drawing/2010/slicer" name="Customer demographics"/>
            </a:graphicData>
          </a:graphic>
        </xdr:graphicFrame>
      </mc:Choice>
      <mc:Fallback xmlns="">
        <xdr:sp macro="" textlink="">
          <xdr:nvSpPr>
            <xdr:cNvPr id="0" name=""/>
            <xdr:cNvSpPr>
              <a:spLocks noTextEdit="1"/>
            </xdr:cNvSpPr>
          </xdr:nvSpPr>
          <xdr:spPr>
            <a:xfrm>
              <a:off x="7261457" y="1553431"/>
              <a:ext cx="3063258" cy="88727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290930</xdr:colOff>
      <xdr:row>9</xdr:row>
      <xdr:rowOff>81219</xdr:rowOff>
    </xdr:from>
    <xdr:to>
      <xdr:col>14</xdr:col>
      <xdr:colOff>1195634</xdr:colOff>
      <xdr:row>13</xdr:row>
      <xdr:rowOff>166254</xdr:rowOff>
    </xdr:to>
    <mc:AlternateContent xmlns:mc="http://schemas.openxmlformats.org/markup-compatibility/2006" xmlns:a14="http://schemas.microsoft.com/office/drawing/2010/main">
      <mc:Choice Requires="a14">
        <xdr:graphicFrame macro="">
          <xdr:nvGraphicFramePr>
            <xdr:cNvPr id="19" name="Shipping carriers">
              <a:extLst>
                <a:ext uri="{FF2B5EF4-FFF2-40B4-BE49-F238E27FC236}">
                  <a16:creationId xmlns:a16="http://schemas.microsoft.com/office/drawing/2014/main" id="{20ADBF08-CB59-02DD-5E07-74BDF502A73E}"/>
                </a:ext>
              </a:extLst>
            </xdr:cNvPr>
            <xdr:cNvGraphicFramePr/>
          </xdr:nvGraphicFramePr>
          <xdr:xfrm>
            <a:off x="0" y="0"/>
            <a:ext cx="0" cy="0"/>
          </xdr:xfrm>
          <a:graphic>
            <a:graphicData uri="http://schemas.microsoft.com/office/drawing/2010/slicer">
              <sle:slicer xmlns:sle="http://schemas.microsoft.com/office/drawing/2010/slicer" name="Shipping carriers"/>
            </a:graphicData>
          </a:graphic>
        </xdr:graphicFrame>
      </mc:Choice>
      <mc:Fallback xmlns="">
        <xdr:sp macro="" textlink="">
          <xdr:nvSpPr>
            <xdr:cNvPr id="0" name=""/>
            <xdr:cNvSpPr>
              <a:spLocks noTextEdit="1"/>
            </xdr:cNvSpPr>
          </xdr:nvSpPr>
          <xdr:spPr>
            <a:xfrm>
              <a:off x="17935463" y="1605219"/>
              <a:ext cx="3258438" cy="76236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736691</xdr:colOff>
      <xdr:row>9</xdr:row>
      <xdr:rowOff>8701</xdr:rowOff>
    </xdr:from>
    <xdr:to>
      <xdr:col>12</xdr:col>
      <xdr:colOff>817418</xdr:colOff>
      <xdr:row>14</xdr:row>
      <xdr:rowOff>59428</xdr:rowOff>
    </xdr:to>
    <mc:AlternateContent xmlns:mc="http://schemas.openxmlformats.org/markup-compatibility/2006" xmlns:a14="http://schemas.microsoft.com/office/drawing/2010/main">
      <mc:Choice Requires="a14">
        <xdr:graphicFrame macro="">
          <xdr:nvGraphicFramePr>
            <xdr:cNvPr id="20" name="Supplier name">
              <a:extLst>
                <a:ext uri="{FF2B5EF4-FFF2-40B4-BE49-F238E27FC236}">
                  <a16:creationId xmlns:a16="http://schemas.microsoft.com/office/drawing/2014/main" id="{C2E2176D-9F34-8BA9-A1CD-F50F2EE249D8}"/>
                </a:ext>
              </a:extLst>
            </xdr:cNvPr>
            <xdr:cNvGraphicFramePr/>
          </xdr:nvGraphicFramePr>
          <xdr:xfrm>
            <a:off x="0" y="0"/>
            <a:ext cx="0" cy="0"/>
          </xdr:xfrm>
          <a:graphic>
            <a:graphicData uri="http://schemas.microsoft.com/office/drawing/2010/slicer">
              <sle:slicer xmlns:sle="http://schemas.microsoft.com/office/drawing/2010/slicer" name="Supplier name"/>
            </a:graphicData>
          </a:graphic>
        </xdr:graphicFrame>
      </mc:Choice>
      <mc:Fallback xmlns="">
        <xdr:sp macro="" textlink="">
          <xdr:nvSpPr>
            <xdr:cNvPr id="0" name=""/>
            <xdr:cNvSpPr>
              <a:spLocks noTextEdit="1"/>
            </xdr:cNvSpPr>
          </xdr:nvSpPr>
          <xdr:spPr>
            <a:xfrm>
              <a:off x="14317224" y="1532701"/>
              <a:ext cx="3145661" cy="89739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3126021</xdr:colOff>
      <xdr:row>9</xdr:row>
      <xdr:rowOff>20909</xdr:rowOff>
    </xdr:from>
    <xdr:to>
      <xdr:col>10</xdr:col>
      <xdr:colOff>290944</xdr:colOff>
      <xdr:row>14</xdr:row>
      <xdr:rowOff>52707</xdr:rowOff>
    </xdr:to>
    <mc:AlternateContent xmlns:mc="http://schemas.openxmlformats.org/markup-compatibility/2006" xmlns:a14="http://schemas.microsoft.com/office/drawing/2010/main">
      <mc:Choice Requires="a14">
        <xdr:graphicFrame macro="">
          <xdr:nvGraphicFramePr>
            <xdr:cNvPr id="21" name="Location">
              <a:extLst>
                <a:ext uri="{FF2B5EF4-FFF2-40B4-BE49-F238E27FC236}">
                  <a16:creationId xmlns:a16="http://schemas.microsoft.com/office/drawing/2014/main" id="{70376B11-33CF-E3B2-24A7-49868DF324F3}"/>
                </a:ext>
              </a:extLst>
            </xdr:cNvPr>
            <xdr:cNvGraphicFramePr/>
          </xdr:nvGraphicFramePr>
          <xdr:xfrm>
            <a:off x="0" y="0"/>
            <a:ext cx="0" cy="0"/>
          </xdr:xfrm>
          <a:graphic>
            <a:graphicData uri="http://schemas.microsoft.com/office/drawing/2010/slicer">
              <sle:slicer xmlns:sle="http://schemas.microsoft.com/office/drawing/2010/slicer" name="Location"/>
            </a:graphicData>
          </a:graphic>
        </xdr:graphicFrame>
      </mc:Choice>
      <mc:Fallback xmlns="">
        <xdr:sp macro="" textlink="">
          <xdr:nvSpPr>
            <xdr:cNvPr id="0" name=""/>
            <xdr:cNvSpPr>
              <a:spLocks noTextEdit="1"/>
            </xdr:cNvSpPr>
          </xdr:nvSpPr>
          <xdr:spPr>
            <a:xfrm>
              <a:off x="10762954" y="1544909"/>
              <a:ext cx="3108523" cy="87846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Vivobook" refreshedDate="46197.881502083335" createdVersion="8" refreshedVersion="8" minRefreshableVersion="3" recordCount="100" xr:uid="{300B95D5-3E4C-441A-A564-B827B8B6CA54}">
  <cacheSource type="worksheet">
    <worksheetSource name="Table1"/>
  </cacheSource>
  <cacheFields count="27">
    <cacheField name="Product type" numFmtId="0">
      <sharedItems count="3">
        <s v="haircare"/>
        <s v="skincare"/>
        <s v="cosmetics"/>
      </sharedItems>
    </cacheField>
    <cacheField name="SKU" numFmtId="0">
      <sharedItems count="100">
        <s v="SKU0"/>
        <s v="SKU1"/>
        <s v="SKU2"/>
        <s v="SKU3"/>
        <s v="SKU4"/>
        <s v="SKU5"/>
        <s v="SKU6"/>
        <s v="SKU7"/>
        <s v="SKU8"/>
        <s v="SKU9"/>
        <s v="SKU10"/>
        <s v="SKU11"/>
        <s v="SKU12"/>
        <s v="SKU13"/>
        <s v="SKU14"/>
        <s v="SKU15"/>
        <s v="SKU16"/>
        <s v="SKU17"/>
        <s v="SKU18"/>
        <s v="SKU19"/>
        <s v="SKU20"/>
        <s v="SKU21"/>
        <s v="SKU22"/>
        <s v="SKU23"/>
        <s v="SKU24"/>
        <s v="SKU25"/>
        <s v="SKU26"/>
        <s v="SKU27"/>
        <s v="SKU28"/>
        <s v="SKU29"/>
        <s v="SKU30"/>
        <s v="SKU31"/>
        <s v="SKU32"/>
        <s v="SKU33"/>
        <s v="SKU34"/>
        <s v="SKU35"/>
        <s v="SKU36"/>
        <s v="SKU37"/>
        <s v="SKU38"/>
        <s v="SKU39"/>
        <s v="SKU40"/>
        <s v="SKU41"/>
        <s v="SKU42"/>
        <s v="SKU43"/>
        <s v="SKU44"/>
        <s v="SKU45"/>
        <s v="SKU46"/>
        <s v="SKU47"/>
        <s v="SKU48"/>
        <s v="SKU49"/>
        <s v="SKU50"/>
        <s v="SKU51"/>
        <s v="SKU52"/>
        <s v="SKU53"/>
        <s v="SKU54"/>
        <s v="SKU55"/>
        <s v="SKU56"/>
        <s v="SKU57"/>
        <s v="SKU58"/>
        <s v="SKU59"/>
        <s v="SKU60"/>
        <s v="SKU61"/>
        <s v="SKU62"/>
        <s v="SKU63"/>
        <s v="SKU64"/>
        <s v="SKU65"/>
        <s v="SKU66"/>
        <s v="SKU67"/>
        <s v="SKU68"/>
        <s v="SKU69"/>
        <s v="SKU70"/>
        <s v="SKU71"/>
        <s v="SKU72"/>
        <s v="SKU73"/>
        <s v="SKU74"/>
        <s v="SKU75"/>
        <s v="SKU76"/>
        <s v="SKU77"/>
        <s v="SKU78"/>
        <s v="SKU79"/>
        <s v="SKU80"/>
        <s v="SKU81"/>
        <s v="SKU82"/>
        <s v="SKU83"/>
        <s v="SKU84"/>
        <s v="SKU85"/>
        <s v="SKU86"/>
        <s v="SKU87"/>
        <s v="SKU88"/>
        <s v="SKU89"/>
        <s v="SKU90"/>
        <s v="SKU91"/>
        <s v="SKU92"/>
        <s v="SKU93"/>
        <s v="SKU94"/>
        <s v="SKU95"/>
        <s v="SKU96"/>
        <s v="SKU97"/>
        <s v="SKU98"/>
        <s v="SKU99"/>
      </sharedItems>
    </cacheField>
    <cacheField name="Price" numFmtId="0">
      <sharedItems containsSemiMixedTypes="0" containsString="0" containsNumber="1" minValue="1.6999760138659299" maxValue="99.171328638624104"/>
    </cacheField>
    <cacheField name="Availability" numFmtId="0">
      <sharedItems containsSemiMixedTypes="0" containsString="0" containsNumber="1" containsInteger="1" minValue="1" maxValue="100"/>
    </cacheField>
    <cacheField name="Number of products sold" numFmtId="0">
      <sharedItems containsSemiMixedTypes="0" containsString="0" containsNumber="1" containsInteger="1" minValue="8" maxValue="996"/>
    </cacheField>
    <cacheField name="Revenue generated" numFmtId="0">
      <sharedItems containsSemiMixedTypes="0" containsString="0" containsNumber="1" minValue="1061.6185230132801" maxValue="9866.4654579796897"/>
    </cacheField>
    <cacheField name="Customer demographics" numFmtId="0">
      <sharedItems count="4">
        <s v="Non-binary"/>
        <s v="Female"/>
        <s v="Unknown"/>
        <s v="Male"/>
      </sharedItems>
    </cacheField>
    <cacheField name="Stock levels" numFmtId="0">
      <sharedItems containsSemiMixedTypes="0" containsString="0" containsNumber="1" containsInteger="1" minValue="0" maxValue="100"/>
    </cacheField>
    <cacheField name="Lead times" numFmtId="0">
      <sharedItems containsSemiMixedTypes="0" containsString="0" containsNumber="1" containsInteger="1" minValue="1" maxValue="30"/>
    </cacheField>
    <cacheField name="Order quantities" numFmtId="0">
      <sharedItems containsSemiMixedTypes="0" containsString="0" containsNumber="1" containsInteger="1" minValue="1" maxValue="96"/>
    </cacheField>
    <cacheField name="Shipping times" numFmtId="0">
      <sharedItems containsSemiMixedTypes="0" containsString="0" containsNumber="1" containsInteger="1" minValue="1" maxValue="10"/>
    </cacheField>
    <cacheField name="Shipping carriers" numFmtId="0">
      <sharedItems count="3">
        <s v="Carrier B"/>
        <s v="Carrier A"/>
        <s v="Carrier C"/>
      </sharedItems>
    </cacheField>
    <cacheField name="Shipping costs" numFmtId="0">
      <sharedItems containsSemiMixedTypes="0" containsString="0" containsNumber="1" minValue="1.0134865660958901" maxValue="9.9298162452772498"/>
    </cacheField>
    <cacheField name="Supplier name" numFmtId="0">
      <sharedItems count="5">
        <s v="Supplier 3"/>
        <s v="Supplier 1"/>
        <s v="Supplier 5"/>
        <s v="Supplier 4"/>
        <s v="Supplier 2"/>
      </sharedItems>
    </cacheField>
    <cacheField name="Location" numFmtId="0">
      <sharedItems count="5">
        <s v="Mumbai"/>
        <s v="Kolkata"/>
        <s v="Delhi"/>
        <s v="Bangalore"/>
        <s v="Chennai"/>
      </sharedItems>
    </cacheField>
    <cacheField name="Lead time" numFmtId="0">
      <sharedItems containsSemiMixedTypes="0" containsString="0" containsNumber="1" containsInteger="1" minValue="1" maxValue="30"/>
    </cacheField>
    <cacheField name="Production volumes" numFmtId="0">
      <sharedItems containsSemiMixedTypes="0" containsString="0" containsNumber="1" containsInteger="1" minValue="104" maxValue="985"/>
    </cacheField>
    <cacheField name="Manufacturing lead time" numFmtId="0">
      <sharedItems containsSemiMixedTypes="0" containsString="0" containsNumber="1" containsInteger="1" minValue="1" maxValue="30"/>
    </cacheField>
    <cacheField name="Manufacturing costs per unit" numFmtId="0">
      <sharedItems containsSemiMixedTypes="0" containsString="0" containsNumber="1" minValue="1.0850685695870601" maxValue="99.466108603599096"/>
    </cacheField>
    <cacheField name="Inspection results" numFmtId="0">
      <sharedItems/>
    </cacheField>
    <cacheField name="Defect rates" numFmtId="0">
      <sharedItems containsSemiMixedTypes="0" containsString="0" containsNumber="1" minValue="1.8607567631014899E-2" maxValue="4.9392552886209398"/>
    </cacheField>
    <cacheField name="Transportation modes" numFmtId="0">
      <sharedItems count="4">
        <s v="Road"/>
        <s v="Air"/>
        <s v="Rail"/>
        <s v="Sea"/>
      </sharedItems>
    </cacheField>
    <cacheField name="Routes" numFmtId="0">
      <sharedItems count="3">
        <s v="Route B"/>
        <s v="Route C"/>
        <s v="Route A"/>
      </sharedItems>
    </cacheField>
    <cacheField name="Costs" numFmtId="0">
      <sharedItems containsSemiMixedTypes="0" containsString="0" containsNumber="1" minValue="103.916247960704" maxValue="997.41345013319403"/>
    </cacheField>
    <cacheField name="Shipping costs vs. lead time" numFmtId="0" formula="'Shipping costs'/'Lead times'" databaseField="0"/>
    <cacheField name="Profit" numFmtId="0" formula="'Revenue generated'-Costs" databaseField="0"/>
    <cacheField name="Margin" numFmtId="0" formula="Profit/Costs" databaseField="0"/>
  </cacheFields>
  <extLst>
    <ext xmlns:x14="http://schemas.microsoft.com/office/spreadsheetml/2009/9/main" uri="{725AE2AE-9491-48be-B2B4-4EB974FC3084}">
      <x14:pivotCacheDefinition pivotCacheId="98109413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x v="0"/>
    <x v="0"/>
    <n v="69.808005542115694"/>
    <n v="55"/>
    <n v="802"/>
    <n v="8661.9967923923796"/>
    <x v="0"/>
    <n v="58"/>
    <n v="7"/>
    <n v="96"/>
    <n v="4"/>
    <x v="0"/>
    <n v="2.9565721394308002"/>
    <x v="0"/>
    <x v="0"/>
    <n v="29"/>
    <n v="215"/>
    <n v="29"/>
    <n v="46.279879240508301"/>
    <s v="Pending"/>
    <n v="0.226410360849925"/>
    <x v="0"/>
    <x v="0"/>
    <n v="187.75207545920301"/>
  </r>
  <r>
    <x v="1"/>
    <x v="1"/>
    <n v="14.8435232750843"/>
    <n v="95"/>
    <n v="736"/>
    <n v="7460.9000654458396"/>
    <x v="1"/>
    <n v="53"/>
    <n v="30"/>
    <n v="37"/>
    <n v="2"/>
    <x v="1"/>
    <n v="9.7165747714313095"/>
    <x v="0"/>
    <x v="0"/>
    <n v="23"/>
    <n v="517"/>
    <n v="30"/>
    <n v="33.616768953730002"/>
    <s v="Pending"/>
    <n v="4.8540680263886999"/>
    <x v="0"/>
    <x v="0"/>
    <n v="503.06557914966902"/>
  </r>
  <r>
    <x v="0"/>
    <x v="2"/>
    <n v="11.319683293090501"/>
    <n v="34"/>
    <n v="8"/>
    <n v="9577.7496258687297"/>
    <x v="2"/>
    <n v="1"/>
    <n v="10"/>
    <n v="88"/>
    <n v="2"/>
    <x v="0"/>
    <n v="8.0544792617321495"/>
    <x v="1"/>
    <x v="0"/>
    <n v="12"/>
    <n v="971"/>
    <n v="27"/>
    <n v="30.6880193482842"/>
    <s v="Pending"/>
    <n v="4.5805926191992201"/>
    <x v="1"/>
    <x v="1"/>
    <n v="141.920281771519"/>
  </r>
  <r>
    <x v="1"/>
    <x v="3"/>
    <n v="61.1633430164377"/>
    <n v="68"/>
    <n v="83"/>
    <n v="7766.8364256852301"/>
    <x v="0"/>
    <n v="23"/>
    <n v="13"/>
    <n v="59"/>
    <n v="6"/>
    <x v="2"/>
    <n v="1.7295685635434199"/>
    <x v="2"/>
    <x v="1"/>
    <n v="24"/>
    <n v="937"/>
    <n v="18"/>
    <n v="35.624741397125"/>
    <s v="Fail"/>
    <n v="4.7466486206477496"/>
    <x v="2"/>
    <x v="2"/>
    <n v="254.776159219286"/>
  </r>
  <r>
    <x v="1"/>
    <x v="4"/>
    <n v="4.8054960363458896"/>
    <n v="26"/>
    <n v="871"/>
    <n v="2686.50515156744"/>
    <x v="0"/>
    <n v="5"/>
    <n v="3"/>
    <n v="56"/>
    <n v="8"/>
    <x v="1"/>
    <n v="3.8905479158706702"/>
    <x v="1"/>
    <x v="2"/>
    <n v="5"/>
    <n v="414"/>
    <n v="3"/>
    <n v="92.065160598712794"/>
    <s v="Fail"/>
    <n v="3.1455795228330001"/>
    <x v="1"/>
    <x v="2"/>
    <n v="923.44063171192204"/>
  </r>
  <r>
    <x v="0"/>
    <x v="5"/>
    <n v="1.6999760138659299"/>
    <n v="87"/>
    <n v="147"/>
    <n v="2828.3487459757498"/>
    <x v="0"/>
    <n v="90"/>
    <n v="27"/>
    <n v="66"/>
    <n v="3"/>
    <x v="0"/>
    <n v="4.4440988643822896"/>
    <x v="3"/>
    <x v="3"/>
    <n v="10"/>
    <n v="104"/>
    <n v="17"/>
    <n v="56.766475557431797"/>
    <s v="Fail"/>
    <n v="2.7791935115711599"/>
    <x v="0"/>
    <x v="2"/>
    <n v="235.461236735537"/>
  </r>
  <r>
    <x v="1"/>
    <x v="6"/>
    <n v="4.0783328631079403"/>
    <n v="48"/>
    <n v="65"/>
    <n v="7823.4765595317303"/>
    <x v="3"/>
    <n v="11"/>
    <n v="15"/>
    <n v="58"/>
    <n v="8"/>
    <x v="2"/>
    <n v="3.8807633029519999"/>
    <x v="0"/>
    <x v="1"/>
    <n v="14"/>
    <n v="314"/>
    <n v="24"/>
    <n v="1.0850685695870601"/>
    <s v="Pending"/>
    <n v="1.0009106193041299"/>
    <x v="3"/>
    <x v="2"/>
    <n v="134.36909686103101"/>
  </r>
  <r>
    <x v="2"/>
    <x v="7"/>
    <n v="42.958384382459997"/>
    <n v="59"/>
    <n v="426"/>
    <n v="8496.1038130898305"/>
    <x v="1"/>
    <n v="93"/>
    <n v="17"/>
    <n v="11"/>
    <n v="1"/>
    <x v="0"/>
    <n v="2.3483387844177801"/>
    <x v="3"/>
    <x v="3"/>
    <n v="22"/>
    <n v="564"/>
    <n v="1"/>
    <n v="99.466108603599096"/>
    <s v="Fail"/>
    <n v="0.39817718685065001"/>
    <x v="0"/>
    <x v="1"/>
    <n v="802.05631181755803"/>
  </r>
  <r>
    <x v="2"/>
    <x v="8"/>
    <n v="68.717596748527299"/>
    <n v="78"/>
    <n v="150"/>
    <n v="7517.3632106311197"/>
    <x v="1"/>
    <n v="5"/>
    <n v="10"/>
    <n v="15"/>
    <n v="7"/>
    <x v="2"/>
    <n v="3.4047338570830199"/>
    <x v="3"/>
    <x v="0"/>
    <n v="13"/>
    <n v="769"/>
    <n v="8"/>
    <n v="11.423027139565599"/>
    <s v="Pending"/>
    <n v="2.7098626911099601"/>
    <x v="3"/>
    <x v="0"/>
    <n v="505.55713422546398"/>
  </r>
  <r>
    <x v="1"/>
    <x v="9"/>
    <n v="64.0157329412785"/>
    <n v="35"/>
    <n v="980"/>
    <n v="4971.1459875855498"/>
    <x v="2"/>
    <n v="14"/>
    <n v="27"/>
    <n v="83"/>
    <n v="1"/>
    <x v="1"/>
    <n v="7.1666452910482104"/>
    <x v="4"/>
    <x v="4"/>
    <n v="29"/>
    <n v="963"/>
    <n v="23"/>
    <n v="47.957601634951502"/>
    <s v="Pending"/>
    <n v="3.8446144787675798"/>
    <x v="2"/>
    <x v="0"/>
    <n v="995.92946149864099"/>
  </r>
  <r>
    <x v="1"/>
    <x v="10"/>
    <n v="15.707795681912099"/>
    <n v="11"/>
    <n v="996"/>
    <n v="2330.9658020919401"/>
    <x v="0"/>
    <n v="51"/>
    <n v="13"/>
    <n v="80"/>
    <n v="2"/>
    <x v="2"/>
    <n v="8.6732112112786108"/>
    <x v="2"/>
    <x v="1"/>
    <n v="18"/>
    <n v="830"/>
    <n v="5"/>
    <n v="96.527352785310896"/>
    <s v="Pass"/>
    <n v="1.72731392835594"/>
    <x v="0"/>
    <x v="0"/>
    <n v="806.10317770292295"/>
  </r>
  <r>
    <x v="1"/>
    <x v="11"/>
    <n v="90.635459982288594"/>
    <n v="95"/>
    <n v="960"/>
    <n v="6099.9441155814502"/>
    <x v="1"/>
    <n v="46"/>
    <n v="23"/>
    <n v="60"/>
    <n v="1"/>
    <x v="1"/>
    <n v="4.5239431243166601"/>
    <x v="4"/>
    <x v="1"/>
    <n v="28"/>
    <n v="362"/>
    <n v="11"/>
    <n v="27.5923630866636"/>
    <s v="Pending"/>
    <n v="2.1169821372994301E-2"/>
    <x v="1"/>
    <x v="2"/>
    <n v="126.72303340940699"/>
  </r>
  <r>
    <x v="0"/>
    <x v="12"/>
    <n v="71.213389075359999"/>
    <n v="41"/>
    <n v="336"/>
    <n v="2873.74144602144"/>
    <x v="2"/>
    <n v="100"/>
    <n v="30"/>
    <n v="85"/>
    <n v="4"/>
    <x v="1"/>
    <n v="1.32527401018452"/>
    <x v="3"/>
    <x v="1"/>
    <n v="3"/>
    <n v="563"/>
    <n v="3"/>
    <n v="32.321286213424003"/>
    <s v="Fail"/>
    <n v="2.1612537475559099"/>
    <x v="0"/>
    <x v="0"/>
    <n v="402.96878907376998"/>
  </r>
  <r>
    <x v="1"/>
    <x v="13"/>
    <n v="16.160393317379899"/>
    <n v="5"/>
    <n v="249"/>
    <n v="4052.7384162378598"/>
    <x v="3"/>
    <n v="80"/>
    <n v="8"/>
    <n v="48"/>
    <n v="9"/>
    <x v="1"/>
    <n v="9.5372830611083295"/>
    <x v="2"/>
    <x v="3"/>
    <n v="23"/>
    <n v="173"/>
    <n v="10"/>
    <n v="97.829050110173199"/>
    <s v="Pending"/>
    <n v="1.63107423007153"/>
    <x v="0"/>
    <x v="0"/>
    <n v="547.24100516096803"/>
  </r>
  <r>
    <x v="1"/>
    <x v="14"/>
    <n v="99.171328638624104"/>
    <n v="26"/>
    <n v="562"/>
    <n v="8653.5709264697998"/>
    <x v="0"/>
    <n v="54"/>
    <n v="29"/>
    <n v="78"/>
    <n v="5"/>
    <x v="0"/>
    <n v="2.0397701894493299"/>
    <x v="1"/>
    <x v="1"/>
    <n v="25"/>
    <n v="558"/>
    <n v="14"/>
    <n v="5.7914366298629796"/>
    <s v="Pending"/>
    <n v="0.100682851565093"/>
    <x v="1"/>
    <x v="0"/>
    <n v="929.23528996088896"/>
  </r>
  <r>
    <x v="1"/>
    <x v="15"/>
    <n v="36.989244928626903"/>
    <n v="94"/>
    <n v="469"/>
    <n v="5442.0867853976697"/>
    <x v="0"/>
    <n v="9"/>
    <n v="8"/>
    <n v="69"/>
    <n v="7"/>
    <x v="0"/>
    <n v="2.4220397232752"/>
    <x v="1"/>
    <x v="3"/>
    <n v="14"/>
    <n v="580"/>
    <n v="7"/>
    <n v="97.121281751474299"/>
    <s v="Pass"/>
    <n v="2.2644057611985402"/>
    <x v="3"/>
    <x v="0"/>
    <n v="127.861800001625"/>
  </r>
  <r>
    <x v="1"/>
    <x v="16"/>
    <n v="7.5471721097912701"/>
    <n v="74"/>
    <n v="280"/>
    <n v="6453.7979681762799"/>
    <x v="1"/>
    <n v="2"/>
    <n v="5"/>
    <n v="78"/>
    <n v="1"/>
    <x v="0"/>
    <n v="4.1913245857054999"/>
    <x v="1"/>
    <x v="3"/>
    <n v="3"/>
    <n v="399"/>
    <n v="21"/>
    <n v="77.106342497849994"/>
    <s v="Pass"/>
    <n v="1.01256308925804"/>
    <x v="1"/>
    <x v="2"/>
    <n v="865.52577977123997"/>
  </r>
  <r>
    <x v="2"/>
    <x v="17"/>
    <n v="81.462534369237005"/>
    <n v="82"/>
    <n v="126"/>
    <n v="2629.39643484526"/>
    <x v="1"/>
    <n v="45"/>
    <n v="17"/>
    <n v="85"/>
    <n v="9"/>
    <x v="2"/>
    <n v="3.5854189582323399"/>
    <x v="1"/>
    <x v="4"/>
    <n v="7"/>
    <n v="453"/>
    <n v="16"/>
    <n v="47.679680368355299"/>
    <s v="Fail"/>
    <n v="0.102020754918176"/>
    <x v="1"/>
    <x v="1"/>
    <n v="670.93439079241"/>
  </r>
  <r>
    <x v="0"/>
    <x v="18"/>
    <n v="36.4436277704609"/>
    <n v="23"/>
    <n v="620"/>
    <n v="9364.6735050761708"/>
    <x v="2"/>
    <n v="10"/>
    <n v="10"/>
    <n v="46"/>
    <n v="8"/>
    <x v="2"/>
    <n v="4.3392247141107001"/>
    <x v="4"/>
    <x v="1"/>
    <n v="18"/>
    <n v="374"/>
    <n v="17"/>
    <n v="27.107980854843898"/>
    <s v="Pending"/>
    <n v="2.2319391107292601"/>
    <x v="3"/>
    <x v="2"/>
    <n v="593.48025872065102"/>
  </r>
  <r>
    <x v="1"/>
    <x v="19"/>
    <n v="51.123870087964697"/>
    <n v="100"/>
    <n v="187"/>
    <n v="2553.4955849912099"/>
    <x v="2"/>
    <n v="48"/>
    <n v="11"/>
    <n v="94"/>
    <n v="3"/>
    <x v="1"/>
    <n v="4.7426358828418698"/>
    <x v="3"/>
    <x v="4"/>
    <n v="20"/>
    <n v="694"/>
    <n v="16"/>
    <n v="82.373320587990193"/>
    <s v="Fail"/>
    <n v="3.64645086541702"/>
    <x v="0"/>
    <x v="1"/>
    <n v="477.30763109090299"/>
  </r>
  <r>
    <x v="1"/>
    <x v="20"/>
    <n v="96.341072439963298"/>
    <n v="22"/>
    <n v="320"/>
    <n v="8128.0276968511898"/>
    <x v="2"/>
    <n v="27"/>
    <n v="12"/>
    <n v="68"/>
    <n v="6"/>
    <x v="1"/>
    <n v="8.8783346509268402"/>
    <x v="1"/>
    <x v="4"/>
    <n v="29"/>
    <n v="309"/>
    <n v="6"/>
    <n v="65.686259608488598"/>
    <s v="Pass"/>
    <n v="4.2314165735345304"/>
    <x v="1"/>
    <x v="0"/>
    <n v="493.871215316205"/>
  </r>
  <r>
    <x v="2"/>
    <x v="21"/>
    <n v="84.893868984950799"/>
    <n v="60"/>
    <n v="601"/>
    <n v="7087.0526963574302"/>
    <x v="2"/>
    <n v="69"/>
    <n v="25"/>
    <n v="7"/>
    <n v="6"/>
    <x v="0"/>
    <n v="6.0378837692182898"/>
    <x v="2"/>
    <x v="4"/>
    <n v="19"/>
    <n v="791"/>
    <n v="4"/>
    <n v="61.735728954160898"/>
    <s v="Pending"/>
    <n v="1.8607567631014899E-2"/>
    <x v="1"/>
    <x v="1"/>
    <n v="523.36091472015801"/>
  </r>
  <r>
    <x v="0"/>
    <x v="22"/>
    <n v="27.679780886501899"/>
    <n v="55"/>
    <n v="884"/>
    <n v="2390.8078665561702"/>
    <x v="2"/>
    <n v="71"/>
    <n v="1"/>
    <n v="63"/>
    <n v="10"/>
    <x v="1"/>
    <n v="9.5676489209230393"/>
    <x v="3"/>
    <x v="1"/>
    <n v="22"/>
    <n v="780"/>
    <n v="28"/>
    <n v="50.120839612977299"/>
    <s v="Fail"/>
    <n v="2.5912754732111098"/>
    <x v="2"/>
    <x v="1"/>
    <n v="205.57199582694699"/>
  </r>
  <r>
    <x v="2"/>
    <x v="23"/>
    <n v="4.3243411858641601"/>
    <n v="30"/>
    <n v="391"/>
    <n v="8858.3675710114803"/>
    <x v="2"/>
    <n v="84"/>
    <n v="5"/>
    <n v="29"/>
    <n v="7"/>
    <x v="1"/>
    <n v="2.92485760114555"/>
    <x v="2"/>
    <x v="1"/>
    <n v="11"/>
    <n v="568"/>
    <n v="29"/>
    <n v="98.6099572427038"/>
    <s v="Pending"/>
    <n v="1.3422915627227301"/>
    <x v="2"/>
    <x v="2"/>
    <n v="196.329446112412"/>
  </r>
  <r>
    <x v="0"/>
    <x v="24"/>
    <n v="4.1563083593111001"/>
    <n v="32"/>
    <n v="209"/>
    <n v="9049.0778609398894"/>
    <x v="3"/>
    <n v="4"/>
    <n v="26"/>
    <n v="2"/>
    <n v="8"/>
    <x v="2"/>
    <n v="9.7412916892843597"/>
    <x v="4"/>
    <x v="3"/>
    <n v="28"/>
    <n v="447"/>
    <n v="3"/>
    <n v="40.382359702924802"/>
    <s v="Pending"/>
    <n v="3.69131029262872"/>
    <x v="1"/>
    <x v="2"/>
    <n v="758.72477260293795"/>
  </r>
  <r>
    <x v="0"/>
    <x v="25"/>
    <n v="39.629343985092603"/>
    <n v="73"/>
    <n v="142"/>
    <n v="2174.7770543506499"/>
    <x v="3"/>
    <n v="82"/>
    <n v="11"/>
    <n v="52"/>
    <n v="3"/>
    <x v="2"/>
    <n v="2.2310736812817198"/>
    <x v="3"/>
    <x v="1"/>
    <n v="19"/>
    <n v="934"/>
    <n v="23"/>
    <n v="78.280383118415301"/>
    <s v="Pending"/>
    <n v="3.79723121711418"/>
    <x v="0"/>
    <x v="0"/>
    <n v="458.53594573920901"/>
  </r>
  <r>
    <x v="0"/>
    <x v="26"/>
    <n v="97.446946617892806"/>
    <n v="9"/>
    <n v="353"/>
    <n v="3716.49332589403"/>
    <x v="3"/>
    <n v="59"/>
    <n v="16"/>
    <n v="48"/>
    <n v="4"/>
    <x v="0"/>
    <n v="6.5075486210785503"/>
    <x v="4"/>
    <x v="3"/>
    <n v="26"/>
    <n v="171"/>
    <n v="4"/>
    <n v="15.972229757181699"/>
    <s v="Pass"/>
    <n v="2.1193197367249201"/>
    <x v="2"/>
    <x v="2"/>
    <n v="617.86691645837698"/>
  </r>
  <r>
    <x v="2"/>
    <x v="27"/>
    <n v="92.557360812401996"/>
    <n v="42"/>
    <n v="352"/>
    <n v="2686.4572235759802"/>
    <x v="2"/>
    <n v="47"/>
    <n v="9"/>
    <n v="62"/>
    <n v="8"/>
    <x v="2"/>
    <n v="7.4067509529980704"/>
    <x v="2"/>
    <x v="0"/>
    <n v="25"/>
    <n v="291"/>
    <n v="4"/>
    <n v="10.5282450700421"/>
    <s v="Fail"/>
    <n v="2.8646678378833701"/>
    <x v="3"/>
    <x v="0"/>
    <n v="762.45918215568304"/>
  </r>
  <r>
    <x v="2"/>
    <x v="28"/>
    <n v="2.3972747055971402"/>
    <n v="12"/>
    <n v="394"/>
    <n v="6117.3246150839896"/>
    <x v="1"/>
    <n v="48"/>
    <n v="15"/>
    <n v="24"/>
    <n v="4"/>
    <x v="0"/>
    <n v="9.8981405080692202"/>
    <x v="1"/>
    <x v="0"/>
    <n v="13"/>
    <n v="171"/>
    <n v="7"/>
    <n v="59.429381810691503"/>
    <s v="Fail"/>
    <n v="0.81575707929567198"/>
    <x v="1"/>
    <x v="2"/>
    <n v="123.437027511827"/>
  </r>
  <r>
    <x v="2"/>
    <x v="29"/>
    <n v="63.447559185207297"/>
    <n v="3"/>
    <n v="253"/>
    <n v="8318.9031946171708"/>
    <x v="1"/>
    <n v="45"/>
    <n v="5"/>
    <n v="67"/>
    <n v="7"/>
    <x v="0"/>
    <n v="8.1009731453970293"/>
    <x v="1"/>
    <x v="1"/>
    <n v="16"/>
    <n v="329"/>
    <n v="7"/>
    <n v="39.292875586065698"/>
    <s v="Pass"/>
    <n v="3.8780989365884802"/>
    <x v="0"/>
    <x v="0"/>
    <n v="764.93537594070801"/>
  </r>
  <r>
    <x v="0"/>
    <x v="30"/>
    <n v="8.0228592105263896"/>
    <n v="10"/>
    <n v="327"/>
    <n v="2766.3423668660798"/>
    <x v="3"/>
    <n v="60"/>
    <n v="26"/>
    <n v="35"/>
    <n v="7"/>
    <x v="0"/>
    <n v="8.9545283153180097"/>
    <x v="3"/>
    <x v="1"/>
    <n v="27"/>
    <n v="806"/>
    <n v="30"/>
    <n v="51.634893400109299"/>
    <s v="Pending"/>
    <n v="0.96539470535239302"/>
    <x v="0"/>
    <x v="1"/>
    <n v="880.08098824716103"/>
  </r>
  <r>
    <x v="1"/>
    <x v="31"/>
    <n v="50.847393051718697"/>
    <n v="28"/>
    <n v="168"/>
    <n v="9655.1351027193905"/>
    <x v="3"/>
    <n v="6"/>
    <n v="17"/>
    <n v="44"/>
    <n v="4"/>
    <x v="0"/>
    <n v="2.6796609649813998"/>
    <x v="0"/>
    <x v="4"/>
    <n v="24"/>
    <n v="461"/>
    <n v="8"/>
    <n v="60.251145661598002"/>
    <s v="Pending"/>
    <n v="2.9890000066550702"/>
    <x v="2"/>
    <x v="1"/>
    <n v="609.379206618426"/>
  </r>
  <r>
    <x v="1"/>
    <x v="32"/>
    <n v="79.209936015656695"/>
    <n v="43"/>
    <n v="781"/>
    <n v="9571.5504873278096"/>
    <x v="2"/>
    <n v="89"/>
    <n v="13"/>
    <n v="64"/>
    <n v="4"/>
    <x v="2"/>
    <n v="6.5991049012385803"/>
    <x v="0"/>
    <x v="1"/>
    <n v="30"/>
    <n v="737"/>
    <n v="7"/>
    <n v="29.6924671537497"/>
    <s v="Pass"/>
    <n v="1.94603611938611"/>
    <x v="0"/>
    <x v="2"/>
    <n v="761.17390951487698"/>
  </r>
  <r>
    <x v="2"/>
    <x v="33"/>
    <n v="64.795435000155607"/>
    <n v="63"/>
    <n v="616"/>
    <n v="5149.9983504080301"/>
    <x v="0"/>
    <n v="4"/>
    <n v="17"/>
    <n v="95"/>
    <n v="9"/>
    <x v="2"/>
    <n v="4.85827050343664"/>
    <x v="2"/>
    <x v="4"/>
    <n v="1"/>
    <n v="251"/>
    <n v="23"/>
    <n v="23.853427512896101"/>
    <s v="Fail"/>
    <n v="3.54104601225092"/>
    <x v="3"/>
    <x v="2"/>
    <n v="371.25529551987103"/>
  </r>
  <r>
    <x v="1"/>
    <x v="34"/>
    <n v="37.467592329842397"/>
    <n v="96"/>
    <n v="602"/>
    <n v="9061.7108955077201"/>
    <x v="2"/>
    <n v="1"/>
    <n v="26"/>
    <n v="21"/>
    <n v="7"/>
    <x v="1"/>
    <n v="1.0194875708221101"/>
    <x v="1"/>
    <x v="4"/>
    <n v="4"/>
    <n v="452"/>
    <n v="10"/>
    <n v="10.754272815029299"/>
    <s v="Pass"/>
    <n v="0.64660455937205397"/>
    <x v="0"/>
    <x v="0"/>
    <n v="510.35800043352299"/>
  </r>
  <r>
    <x v="2"/>
    <x v="35"/>
    <n v="84.957786816350406"/>
    <n v="11"/>
    <n v="449"/>
    <n v="6541.3293448024597"/>
    <x v="1"/>
    <n v="42"/>
    <n v="27"/>
    <n v="85"/>
    <n v="8"/>
    <x v="2"/>
    <n v="5.2881899903273997"/>
    <x v="1"/>
    <x v="2"/>
    <n v="3"/>
    <n v="367"/>
    <n v="2"/>
    <n v="58.004787044743701"/>
    <s v="Pass"/>
    <n v="0.54115409806058101"/>
    <x v="3"/>
    <x v="1"/>
    <n v="553.42047123035502"/>
  </r>
  <r>
    <x v="1"/>
    <x v="36"/>
    <n v="9.81300257875405"/>
    <n v="34"/>
    <n v="963"/>
    <n v="7573.4024578487297"/>
    <x v="1"/>
    <n v="18"/>
    <n v="23"/>
    <n v="28"/>
    <n v="3"/>
    <x v="0"/>
    <n v="2.1079512671590801"/>
    <x v="4"/>
    <x v="2"/>
    <n v="26"/>
    <n v="671"/>
    <n v="19"/>
    <n v="45.531364237162101"/>
    <s v="Fail"/>
    <n v="3.8055333792433501"/>
    <x v="1"/>
    <x v="1"/>
    <n v="403.80897424817999"/>
  </r>
  <r>
    <x v="1"/>
    <x v="37"/>
    <n v="23.3998447526143"/>
    <n v="5"/>
    <n v="963"/>
    <n v="2438.3399304700201"/>
    <x v="1"/>
    <n v="25"/>
    <n v="8"/>
    <n v="21"/>
    <n v="9"/>
    <x v="1"/>
    <n v="1.53265527359043"/>
    <x v="0"/>
    <x v="1"/>
    <n v="24"/>
    <n v="867"/>
    <n v="15"/>
    <n v="34.343277465075303"/>
    <s v="Pending"/>
    <n v="2.61028808484811"/>
    <x v="3"/>
    <x v="2"/>
    <n v="183.932968043594"/>
  </r>
  <r>
    <x v="2"/>
    <x v="38"/>
    <n v="52.075930682707799"/>
    <n v="75"/>
    <n v="705"/>
    <n v="9692.3180402184298"/>
    <x v="0"/>
    <n v="69"/>
    <n v="1"/>
    <n v="88"/>
    <n v="5"/>
    <x v="0"/>
    <n v="9.2359314372492207"/>
    <x v="2"/>
    <x v="0"/>
    <n v="10"/>
    <n v="841"/>
    <n v="12"/>
    <n v="5.9306936455283097"/>
    <s v="Pending"/>
    <n v="0.613326899164507"/>
    <x v="1"/>
    <x v="0"/>
    <n v="339.67286994860598"/>
  </r>
  <r>
    <x v="1"/>
    <x v="39"/>
    <n v="19.127477265823199"/>
    <n v="26"/>
    <n v="176"/>
    <n v="1912.4656631007599"/>
    <x v="1"/>
    <n v="78"/>
    <n v="29"/>
    <n v="34"/>
    <n v="3"/>
    <x v="1"/>
    <n v="5.5625037788303802"/>
    <x v="4"/>
    <x v="1"/>
    <n v="30"/>
    <n v="791"/>
    <n v="6"/>
    <n v="9.0058074287816403"/>
    <s v="Fail"/>
    <n v="1.4519722039968099"/>
    <x v="1"/>
    <x v="0"/>
    <n v="653.67299455203295"/>
  </r>
  <r>
    <x v="1"/>
    <x v="40"/>
    <n v="80.541424170940303"/>
    <n v="97"/>
    <n v="933"/>
    <n v="5724.9593504562599"/>
    <x v="1"/>
    <n v="90"/>
    <n v="20"/>
    <n v="39"/>
    <n v="8"/>
    <x v="2"/>
    <n v="7.2295951397364702"/>
    <x v="1"/>
    <x v="1"/>
    <n v="18"/>
    <n v="793"/>
    <n v="1"/>
    <n v="88.179407104217404"/>
    <s v="Pending"/>
    <n v="4.2132694305865597"/>
    <x v="0"/>
    <x v="2"/>
    <n v="529.80872398069096"/>
  </r>
  <r>
    <x v="1"/>
    <x v="41"/>
    <n v="99.113291615317095"/>
    <n v="35"/>
    <n v="556"/>
    <n v="5521.2052590109697"/>
    <x v="1"/>
    <n v="64"/>
    <n v="19"/>
    <n v="38"/>
    <n v="8"/>
    <x v="0"/>
    <n v="5.7732637437666501"/>
    <x v="3"/>
    <x v="4"/>
    <n v="18"/>
    <n v="892"/>
    <n v="7"/>
    <n v="95.332064548772493"/>
    <s v="Fail"/>
    <n v="4.5302262398259602E-2"/>
    <x v="3"/>
    <x v="2"/>
    <n v="275.52437113130901"/>
  </r>
  <r>
    <x v="1"/>
    <x v="42"/>
    <n v="46.529167614516702"/>
    <n v="98"/>
    <n v="155"/>
    <n v="1839.60942585676"/>
    <x v="1"/>
    <n v="22"/>
    <n v="27"/>
    <n v="57"/>
    <n v="4"/>
    <x v="2"/>
    <n v="7.5262483268515004"/>
    <x v="2"/>
    <x v="3"/>
    <n v="26"/>
    <n v="179"/>
    <n v="7"/>
    <n v="96.422820639571796"/>
    <s v="Fail"/>
    <n v="4.9392552886209398"/>
    <x v="0"/>
    <x v="2"/>
    <n v="635.65712050199102"/>
  </r>
  <r>
    <x v="0"/>
    <x v="43"/>
    <n v="11.7432717763092"/>
    <n v="6"/>
    <n v="598"/>
    <n v="5737.4255991190203"/>
    <x v="2"/>
    <n v="36"/>
    <n v="29"/>
    <n v="85"/>
    <n v="9"/>
    <x v="0"/>
    <n v="3.6940212683884499"/>
    <x v="2"/>
    <x v="0"/>
    <n v="1"/>
    <n v="206"/>
    <n v="23"/>
    <n v="26.2773659573324"/>
    <s v="Pending"/>
    <n v="0.37230476798509698"/>
    <x v="1"/>
    <x v="2"/>
    <n v="716.04411975933999"/>
  </r>
  <r>
    <x v="2"/>
    <x v="44"/>
    <n v="51.355790913110297"/>
    <n v="34"/>
    <n v="919"/>
    <n v="7152.28604943551"/>
    <x v="1"/>
    <n v="13"/>
    <n v="19"/>
    <n v="72"/>
    <n v="6"/>
    <x v="2"/>
    <n v="7.5774496573766896"/>
    <x v="4"/>
    <x v="2"/>
    <n v="7"/>
    <n v="834"/>
    <n v="18"/>
    <n v="22.554106620887701"/>
    <s v="Fail"/>
    <n v="2.9626263204548802"/>
    <x v="2"/>
    <x v="2"/>
    <n v="610.45326961922694"/>
  </r>
  <r>
    <x v="0"/>
    <x v="45"/>
    <n v="33.784138033065503"/>
    <n v="1"/>
    <n v="24"/>
    <n v="5267.9568075105199"/>
    <x v="3"/>
    <n v="93"/>
    <n v="7"/>
    <n v="52"/>
    <n v="6"/>
    <x v="0"/>
    <n v="5.2151550087119096"/>
    <x v="4"/>
    <x v="4"/>
    <n v="25"/>
    <n v="794"/>
    <n v="25"/>
    <n v="66.312544439991598"/>
    <s v="Pass"/>
    <n v="3.2196046120841002"/>
    <x v="2"/>
    <x v="2"/>
    <n v="495.30569702847299"/>
  </r>
  <r>
    <x v="0"/>
    <x v="46"/>
    <n v="27.082207199888899"/>
    <n v="75"/>
    <n v="859"/>
    <n v="2556.7673606335902"/>
    <x v="0"/>
    <n v="92"/>
    <n v="29"/>
    <n v="6"/>
    <n v="8"/>
    <x v="0"/>
    <n v="4.0709558370840799"/>
    <x v="0"/>
    <x v="4"/>
    <n v="18"/>
    <n v="870"/>
    <n v="23"/>
    <n v="77.322353211051606"/>
    <s v="Pending"/>
    <n v="3.6486105925361998"/>
    <x v="0"/>
    <x v="0"/>
    <n v="380.43593711196399"/>
  </r>
  <r>
    <x v="1"/>
    <x v="47"/>
    <n v="95.712135880936003"/>
    <n v="93"/>
    <n v="910"/>
    <n v="7089.4742499341801"/>
    <x v="3"/>
    <n v="4"/>
    <n v="15"/>
    <n v="51"/>
    <n v="9"/>
    <x v="0"/>
    <n v="8.9787507559499709"/>
    <x v="1"/>
    <x v="1"/>
    <n v="10"/>
    <n v="964"/>
    <n v="20"/>
    <n v="19.7129929112936"/>
    <s v="Pending"/>
    <n v="0.38057358671321301"/>
    <x v="2"/>
    <x v="2"/>
    <n v="581.60235505058597"/>
  </r>
  <r>
    <x v="0"/>
    <x v="48"/>
    <n v="76.035544426891704"/>
    <n v="28"/>
    <n v="29"/>
    <n v="7397.0710045871801"/>
    <x v="0"/>
    <n v="30"/>
    <n v="16"/>
    <n v="9"/>
    <n v="3"/>
    <x v="2"/>
    <n v="7.0958331565551296"/>
    <x v="4"/>
    <x v="0"/>
    <n v="9"/>
    <n v="109"/>
    <n v="18"/>
    <n v="23.126363582464698"/>
    <s v="Fail"/>
    <n v="1.6981125407144"/>
    <x v="2"/>
    <x v="0"/>
    <n v="768.65191395437"/>
  </r>
  <r>
    <x v="2"/>
    <x v="49"/>
    <n v="78.897913205639995"/>
    <n v="19"/>
    <n v="99"/>
    <n v="8001.6132065190004"/>
    <x v="2"/>
    <n v="97"/>
    <n v="24"/>
    <n v="9"/>
    <n v="6"/>
    <x v="2"/>
    <n v="2.5056210329009101"/>
    <x v="2"/>
    <x v="2"/>
    <n v="28"/>
    <n v="177"/>
    <n v="28"/>
    <n v="14.1478154439792"/>
    <s v="Pass"/>
    <n v="2.8258139854001301"/>
    <x v="2"/>
    <x v="2"/>
    <n v="336.89016851997701"/>
  </r>
  <r>
    <x v="2"/>
    <x v="50"/>
    <n v="14.203484264803"/>
    <n v="91"/>
    <n v="633"/>
    <n v="5910.8853896688897"/>
    <x v="1"/>
    <n v="31"/>
    <n v="23"/>
    <n v="82"/>
    <n v="10"/>
    <x v="1"/>
    <n v="6.2478609149759903"/>
    <x v="4"/>
    <x v="2"/>
    <n v="20"/>
    <n v="306"/>
    <n v="21"/>
    <n v="45.178757924634503"/>
    <s v="Fail"/>
    <n v="4.7548008046711798"/>
    <x v="2"/>
    <x v="0"/>
    <n v="496.24865029194001"/>
  </r>
  <r>
    <x v="0"/>
    <x v="51"/>
    <n v="26.700760972461701"/>
    <n v="61"/>
    <n v="154"/>
    <n v="9866.4654579796897"/>
    <x v="3"/>
    <n v="100"/>
    <n v="4"/>
    <n v="52"/>
    <n v="1"/>
    <x v="1"/>
    <n v="4.78300055794766"/>
    <x v="2"/>
    <x v="3"/>
    <n v="18"/>
    <n v="673"/>
    <n v="28"/>
    <n v="14.190328344569901"/>
    <s v="Pending"/>
    <n v="1.77295117208355"/>
    <x v="0"/>
    <x v="2"/>
    <n v="694.98231757944495"/>
  </r>
  <r>
    <x v="1"/>
    <x v="52"/>
    <n v="98.031829656465007"/>
    <n v="1"/>
    <n v="820"/>
    <n v="9435.7626089121295"/>
    <x v="3"/>
    <n v="64"/>
    <n v="11"/>
    <n v="11"/>
    <n v="1"/>
    <x v="0"/>
    <n v="8.6310521797689397"/>
    <x v="1"/>
    <x v="0"/>
    <n v="10"/>
    <n v="727"/>
    <n v="27"/>
    <n v="9.1668491485971497"/>
    <s v="Pending"/>
    <n v="2.1224716191438202"/>
    <x v="1"/>
    <x v="1"/>
    <n v="602.89849883838303"/>
  </r>
  <r>
    <x v="1"/>
    <x v="53"/>
    <n v="30.3414707112142"/>
    <n v="93"/>
    <n v="242"/>
    <n v="8232.3348294258194"/>
    <x v="3"/>
    <n v="96"/>
    <n v="25"/>
    <n v="54"/>
    <n v="3"/>
    <x v="0"/>
    <n v="1.0134865660958901"/>
    <x v="1"/>
    <x v="2"/>
    <n v="1"/>
    <n v="631"/>
    <n v="17"/>
    <n v="83.344058991677898"/>
    <s v="Pending"/>
    <n v="1.41034757607602"/>
    <x v="1"/>
    <x v="0"/>
    <n v="750.73784066827"/>
  </r>
  <r>
    <x v="0"/>
    <x v="54"/>
    <n v="31.1462431602408"/>
    <n v="11"/>
    <n v="622"/>
    <n v="6088.0214799408504"/>
    <x v="0"/>
    <n v="33"/>
    <n v="22"/>
    <n v="61"/>
    <n v="3"/>
    <x v="0"/>
    <n v="4.3051034712876302"/>
    <x v="1"/>
    <x v="1"/>
    <n v="26"/>
    <n v="497"/>
    <n v="29"/>
    <n v="30.186023375822501"/>
    <s v="Pass"/>
    <n v="2.4787719755397402"/>
    <x v="0"/>
    <x v="0"/>
    <n v="814.06999658218695"/>
  </r>
  <r>
    <x v="0"/>
    <x v="55"/>
    <n v="79.855058340789398"/>
    <n v="16"/>
    <n v="701"/>
    <n v="2925.6751703038099"/>
    <x v="3"/>
    <n v="97"/>
    <n v="11"/>
    <n v="11"/>
    <n v="5"/>
    <x v="1"/>
    <n v="5.0143649550309002"/>
    <x v="4"/>
    <x v="2"/>
    <n v="27"/>
    <n v="918"/>
    <n v="5"/>
    <n v="30.323545256616502"/>
    <s v="Fail"/>
    <n v="4.5489196593963799"/>
    <x v="3"/>
    <x v="0"/>
    <n v="323.01292795247798"/>
  </r>
  <r>
    <x v="1"/>
    <x v="56"/>
    <n v="20.9863860370433"/>
    <n v="90"/>
    <n v="93"/>
    <n v="4767.0204843441297"/>
    <x v="0"/>
    <n v="25"/>
    <n v="23"/>
    <n v="83"/>
    <n v="5"/>
    <x v="2"/>
    <n v="1.77442971407173"/>
    <x v="1"/>
    <x v="0"/>
    <n v="24"/>
    <n v="826"/>
    <n v="28"/>
    <n v="12.8362845728327"/>
    <s v="Pass"/>
    <n v="1.1737554953874501"/>
    <x v="1"/>
    <x v="0"/>
    <n v="832.210808706021"/>
  </r>
  <r>
    <x v="0"/>
    <x v="57"/>
    <n v="49.263205350734097"/>
    <n v="65"/>
    <n v="227"/>
    <n v="1605.8669003924001"/>
    <x v="2"/>
    <n v="5"/>
    <n v="18"/>
    <n v="51"/>
    <n v="1"/>
    <x v="0"/>
    <n v="9.1605585353818704"/>
    <x v="4"/>
    <x v="2"/>
    <n v="21"/>
    <n v="588"/>
    <n v="25"/>
    <n v="67.779622987078099"/>
    <s v="Pending"/>
    <n v="2.5111748302126999"/>
    <x v="2"/>
    <x v="2"/>
    <n v="482.19123860252802"/>
  </r>
  <r>
    <x v="1"/>
    <x v="58"/>
    <n v="59.841561377289302"/>
    <n v="81"/>
    <n v="896"/>
    <n v="2021.1498103371"/>
    <x v="0"/>
    <n v="10"/>
    <n v="5"/>
    <n v="44"/>
    <n v="7"/>
    <x v="1"/>
    <n v="4.9384385647120901"/>
    <x v="0"/>
    <x v="2"/>
    <n v="18"/>
    <n v="396"/>
    <n v="7"/>
    <n v="65.047415094691402"/>
    <s v="Fail"/>
    <n v="1.7303747198591899"/>
    <x v="0"/>
    <x v="0"/>
    <n v="110.364335231364"/>
  </r>
  <r>
    <x v="2"/>
    <x v="59"/>
    <n v="63.828398347710902"/>
    <n v="30"/>
    <n v="484"/>
    <n v="1061.6185230132801"/>
    <x v="0"/>
    <n v="100"/>
    <n v="16"/>
    <n v="26"/>
    <n v="7"/>
    <x v="0"/>
    <n v="7.2937225968677204"/>
    <x v="1"/>
    <x v="1"/>
    <n v="11"/>
    <n v="176"/>
    <n v="4"/>
    <n v="1.90076224351945"/>
    <s v="Fail"/>
    <n v="0.44719401546382298"/>
    <x v="1"/>
    <x v="2"/>
    <n v="312.57427361009297"/>
  </r>
  <r>
    <x v="1"/>
    <x v="60"/>
    <n v="17.028027920188698"/>
    <n v="16"/>
    <n v="380"/>
    <n v="8864.0843495864301"/>
    <x v="1"/>
    <n v="41"/>
    <n v="27"/>
    <n v="72"/>
    <n v="8"/>
    <x v="2"/>
    <n v="4.3813681581023101"/>
    <x v="3"/>
    <x v="0"/>
    <n v="29"/>
    <n v="929"/>
    <n v="24"/>
    <n v="87.213057815135599"/>
    <s v="Fail"/>
    <n v="2.8530906166490499"/>
    <x v="2"/>
    <x v="2"/>
    <n v="430.16909697513597"/>
  </r>
  <r>
    <x v="0"/>
    <x v="61"/>
    <n v="52.028749903294901"/>
    <n v="23"/>
    <n v="117"/>
    <n v="6885.5893508962499"/>
    <x v="2"/>
    <n v="32"/>
    <n v="23"/>
    <n v="36"/>
    <n v="7"/>
    <x v="2"/>
    <n v="9.0303404225219399"/>
    <x v="3"/>
    <x v="1"/>
    <n v="14"/>
    <n v="480"/>
    <n v="12"/>
    <n v="78.702393968878894"/>
    <s v="Fail"/>
    <n v="4.3674705382050503"/>
    <x v="1"/>
    <x v="2"/>
    <n v="164.366528243419"/>
  </r>
  <r>
    <x v="2"/>
    <x v="62"/>
    <n v="72.796353955587307"/>
    <n v="89"/>
    <n v="270"/>
    <n v="3899.7468337292198"/>
    <x v="2"/>
    <n v="86"/>
    <n v="2"/>
    <n v="40"/>
    <n v="7"/>
    <x v="2"/>
    <n v="7.2917013887767697"/>
    <x v="4"/>
    <x v="0"/>
    <n v="13"/>
    <n v="751"/>
    <n v="14"/>
    <n v="21.048642725168602"/>
    <s v="Pass"/>
    <n v="1.87400140404437"/>
    <x v="3"/>
    <x v="1"/>
    <n v="320.84651575911101"/>
  </r>
  <r>
    <x v="1"/>
    <x v="63"/>
    <n v="13.0173767852878"/>
    <n v="55"/>
    <n v="246"/>
    <n v="4256.9491408502199"/>
    <x v="0"/>
    <n v="54"/>
    <n v="19"/>
    <n v="10"/>
    <n v="4"/>
    <x v="1"/>
    <n v="2.45793352798733"/>
    <x v="0"/>
    <x v="3"/>
    <n v="18"/>
    <n v="736"/>
    <n v="10"/>
    <n v="20.075003975630398"/>
    <s v="Pending"/>
    <n v="3.6328432903821302"/>
    <x v="3"/>
    <x v="2"/>
    <n v="687.28617786641701"/>
  </r>
  <r>
    <x v="1"/>
    <x v="64"/>
    <n v="89.634095608135297"/>
    <n v="11"/>
    <n v="134"/>
    <n v="8458.7308783671706"/>
    <x v="1"/>
    <n v="73"/>
    <n v="27"/>
    <n v="75"/>
    <n v="6"/>
    <x v="2"/>
    <n v="4.5853534681946497"/>
    <x v="1"/>
    <x v="2"/>
    <n v="17"/>
    <n v="328"/>
    <n v="6"/>
    <n v="8.6930424258772803"/>
    <s v="Fail"/>
    <n v="0.15948631471751401"/>
    <x v="1"/>
    <x v="1"/>
    <n v="771.225084681157"/>
  </r>
  <r>
    <x v="1"/>
    <x v="65"/>
    <n v="33.697717206643098"/>
    <n v="72"/>
    <n v="457"/>
    <n v="8354.5796864819895"/>
    <x v="3"/>
    <n v="57"/>
    <n v="24"/>
    <n v="54"/>
    <n v="8"/>
    <x v="2"/>
    <n v="6.5805413478845898"/>
    <x v="2"/>
    <x v="1"/>
    <n v="16"/>
    <n v="358"/>
    <n v="21"/>
    <n v="1.59722274305067"/>
    <s v="Fail"/>
    <n v="4.9110959548423301"/>
    <x v="2"/>
    <x v="1"/>
    <n v="555.85910367174301"/>
  </r>
  <r>
    <x v="1"/>
    <x v="66"/>
    <n v="26.034869773962001"/>
    <n v="52"/>
    <n v="704"/>
    <n v="8367.7216180201503"/>
    <x v="1"/>
    <n v="13"/>
    <n v="17"/>
    <n v="19"/>
    <n v="8"/>
    <x v="1"/>
    <n v="2.2161427287713602"/>
    <x v="2"/>
    <x v="1"/>
    <n v="24"/>
    <n v="867"/>
    <n v="28"/>
    <n v="42.084436738309897"/>
    <s v="Fail"/>
    <n v="3.44806328834026"/>
    <x v="0"/>
    <x v="2"/>
    <n v="393.84334857842703"/>
  </r>
  <r>
    <x v="1"/>
    <x v="67"/>
    <n v="87.755432354001002"/>
    <n v="16"/>
    <n v="513"/>
    <n v="9473.7980325083299"/>
    <x v="2"/>
    <n v="12"/>
    <n v="9"/>
    <n v="71"/>
    <n v="9"/>
    <x v="2"/>
    <n v="9.1478115447106294"/>
    <x v="1"/>
    <x v="0"/>
    <n v="10"/>
    <n v="198"/>
    <n v="11"/>
    <n v="7.0578761469782298"/>
    <s v="Pass"/>
    <n v="0.131955444311814"/>
    <x v="3"/>
    <x v="1"/>
    <n v="169.27180138478599"/>
  </r>
  <r>
    <x v="0"/>
    <x v="68"/>
    <n v="37.931812382790298"/>
    <n v="29"/>
    <n v="163"/>
    <n v="3550.21843278099"/>
    <x v="0"/>
    <n v="0"/>
    <n v="8"/>
    <n v="58"/>
    <n v="8"/>
    <x v="0"/>
    <n v="1.19425186488499"/>
    <x v="4"/>
    <x v="3"/>
    <n v="2"/>
    <n v="375"/>
    <n v="18"/>
    <n v="97.113581563462205"/>
    <s v="Fail"/>
    <n v="1.9834678721741801"/>
    <x v="2"/>
    <x v="2"/>
    <n v="299.70630311810299"/>
  </r>
  <r>
    <x v="1"/>
    <x v="69"/>
    <n v="54.865528517069698"/>
    <n v="62"/>
    <n v="511"/>
    <n v="1752.3810874841199"/>
    <x v="0"/>
    <n v="95"/>
    <n v="1"/>
    <n v="27"/>
    <n v="3"/>
    <x v="0"/>
    <n v="9.7052867901203399"/>
    <x v="3"/>
    <x v="1"/>
    <n v="9"/>
    <n v="862"/>
    <n v="7"/>
    <n v="77.627765812748095"/>
    <s v="Pending"/>
    <n v="1.3623879886490999"/>
    <x v="1"/>
    <x v="2"/>
    <n v="207.66320620857499"/>
  </r>
  <r>
    <x v="0"/>
    <x v="70"/>
    <n v="47.914541824058702"/>
    <n v="90"/>
    <n v="32"/>
    <n v="7014.8879872033804"/>
    <x v="1"/>
    <n v="10"/>
    <n v="12"/>
    <n v="22"/>
    <n v="4"/>
    <x v="0"/>
    <n v="6.3157177546007199"/>
    <x v="1"/>
    <x v="3"/>
    <n v="22"/>
    <n v="775"/>
    <n v="16"/>
    <n v="11.440781823761199"/>
    <s v="Pass"/>
    <n v="1.8305755986122301"/>
    <x v="0"/>
    <x v="1"/>
    <n v="183.27289874871099"/>
  </r>
  <r>
    <x v="2"/>
    <x v="71"/>
    <n v="6.3815331627479601"/>
    <n v="14"/>
    <n v="637"/>
    <n v="8180.3370854254399"/>
    <x v="1"/>
    <n v="76"/>
    <n v="2"/>
    <n v="26"/>
    <n v="6"/>
    <x v="1"/>
    <n v="9.2281903170525101"/>
    <x v="4"/>
    <x v="3"/>
    <n v="2"/>
    <n v="258"/>
    <n v="10"/>
    <n v="30.661677477859499"/>
    <s v="Pending"/>
    <n v="2.07875060787496"/>
    <x v="0"/>
    <x v="2"/>
    <n v="405.167067888855"/>
  </r>
  <r>
    <x v="2"/>
    <x v="72"/>
    <n v="90.204427520528"/>
    <n v="88"/>
    <n v="478"/>
    <n v="2633.1219813122498"/>
    <x v="0"/>
    <n v="57"/>
    <n v="29"/>
    <n v="77"/>
    <n v="9"/>
    <x v="1"/>
    <n v="6.5996141596895397"/>
    <x v="1"/>
    <x v="3"/>
    <n v="21"/>
    <n v="152"/>
    <n v="11"/>
    <n v="55.760492895244198"/>
    <s v="Pending"/>
    <n v="3.2133296074383"/>
    <x v="2"/>
    <x v="0"/>
    <n v="677.94456984618296"/>
  </r>
  <r>
    <x v="2"/>
    <x v="73"/>
    <n v="83.851017681304597"/>
    <n v="41"/>
    <n v="375"/>
    <n v="7910.8869161406801"/>
    <x v="3"/>
    <n v="17"/>
    <n v="25"/>
    <n v="66"/>
    <n v="5"/>
    <x v="0"/>
    <n v="1.5129368369160701"/>
    <x v="3"/>
    <x v="4"/>
    <n v="13"/>
    <n v="444"/>
    <n v="4"/>
    <n v="46.870238797617098"/>
    <s v="Fail"/>
    <n v="4.6205460645137002"/>
    <x v="0"/>
    <x v="2"/>
    <n v="866.472800129657"/>
  </r>
  <r>
    <x v="0"/>
    <x v="74"/>
    <n v="3.1700114135661499"/>
    <n v="64"/>
    <n v="904"/>
    <n v="5709.9452959692799"/>
    <x v="1"/>
    <n v="41"/>
    <n v="6"/>
    <n v="1"/>
    <n v="5"/>
    <x v="1"/>
    <n v="5.2376546500374399"/>
    <x v="3"/>
    <x v="2"/>
    <n v="1"/>
    <n v="919"/>
    <n v="9"/>
    <n v="80.580852156447804"/>
    <s v="Fail"/>
    <n v="0.39661272410993498"/>
    <x v="2"/>
    <x v="2"/>
    <n v="341.55265678322297"/>
  </r>
  <r>
    <x v="1"/>
    <x v="75"/>
    <n v="92.996884233970604"/>
    <n v="29"/>
    <n v="106"/>
    <n v="1889.07358977933"/>
    <x v="0"/>
    <n v="16"/>
    <n v="20"/>
    <n v="56"/>
    <n v="10"/>
    <x v="2"/>
    <n v="2.47389776104546"/>
    <x v="1"/>
    <x v="4"/>
    <n v="25"/>
    <n v="759"/>
    <n v="11"/>
    <n v="48.064782640006499"/>
    <s v="Pass"/>
    <n v="2.0300690886687498"/>
    <x v="1"/>
    <x v="1"/>
    <n v="873.12964801765099"/>
  </r>
  <r>
    <x v="0"/>
    <x v="76"/>
    <n v="69.108799547430294"/>
    <n v="23"/>
    <n v="241"/>
    <n v="5328.3759842977497"/>
    <x v="3"/>
    <n v="38"/>
    <n v="1"/>
    <n v="22"/>
    <n v="10"/>
    <x v="1"/>
    <n v="7.0545383368369201"/>
    <x v="4"/>
    <x v="3"/>
    <n v="25"/>
    <n v="985"/>
    <n v="24"/>
    <n v="64.323597795600193"/>
    <s v="Pending"/>
    <n v="2.1800374515822099"/>
    <x v="2"/>
    <x v="2"/>
    <n v="997.41345013319403"/>
  </r>
  <r>
    <x v="0"/>
    <x v="77"/>
    <n v="57.449742958971399"/>
    <n v="14"/>
    <n v="359"/>
    <n v="2483.7601775427902"/>
    <x v="2"/>
    <n v="96"/>
    <n v="28"/>
    <n v="57"/>
    <n v="4"/>
    <x v="0"/>
    <n v="6.7809466256178901"/>
    <x v="1"/>
    <x v="1"/>
    <n v="26"/>
    <n v="334"/>
    <n v="5"/>
    <n v="42.952444748991802"/>
    <s v="Pass"/>
    <n v="3.0551418183075398"/>
    <x v="0"/>
    <x v="0"/>
    <n v="852.56809891984994"/>
  </r>
  <r>
    <x v="0"/>
    <x v="78"/>
    <n v="6.30688317611191"/>
    <n v="50"/>
    <n v="946"/>
    <n v="1292.45841793775"/>
    <x v="2"/>
    <n v="5"/>
    <n v="4"/>
    <n v="51"/>
    <n v="5"/>
    <x v="0"/>
    <n v="8.4670497708619905"/>
    <x v="2"/>
    <x v="0"/>
    <n v="25"/>
    <n v="858"/>
    <n v="21"/>
    <n v="71.126514720403307"/>
    <s v="Pending"/>
    <n v="4.0968813324704501"/>
    <x v="3"/>
    <x v="1"/>
    <n v="323.59220343132199"/>
  </r>
  <r>
    <x v="0"/>
    <x v="79"/>
    <n v="57.057031221103202"/>
    <n v="56"/>
    <n v="198"/>
    <n v="7888.7232684270803"/>
    <x v="0"/>
    <n v="31"/>
    <n v="25"/>
    <n v="20"/>
    <n v="1"/>
    <x v="0"/>
    <n v="6.49632536429504"/>
    <x v="0"/>
    <x v="3"/>
    <n v="5"/>
    <n v="228"/>
    <n v="12"/>
    <n v="57.870902924036201"/>
    <s v="Pending"/>
    <n v="0.16587162748060799"/>
    <x v="1"/>
    <x v="1"/>
    <n v="351.50421933503799"/>
  </r>
  <r>
    <x v="1"/>
    <x v="80"/>
    <n v="91.128318350444303"/>
    <n v="75"/>
    <n v="872"/>
    <n v="8651.67268298206"/>
    <x v="2"/>
    <n v="39"/>
    <n v="14"/>
    <n v="41"/>
    <n v="2"/>
    <x v="2"/>
    <n v="2.8331846794189701"/>
    <x v="0"/>
    <x v="4"/>
    <n v="8"/>
    <n v="202"/>
    <n v="5"/>
    <n v="76.961228023819999"/>
    <s v="Fail"/>
    <n v="2.8496621985053299"/>
    <x v="3"/>
    <x v="0"/>
    <n v="787.77985049434403"/>
  </r>
  <r>
    <x v="0"/>
    <x v="81"/>
    <n v="72.819206930318202"/>
    <n v="9"/>
    <n v="774"/>
    <n v="4384.4134000458598"/>
    <x v="2"/>
    <n v="48"/>
    <n v="6"/>
    <n v="8"/>
    <n v="5"/>
    <x v="0"/>
    <n v="4.0662775015120403"/>
    <x v="0"/>
    <x v="2"/>
    <n v="28"/>
    <n v="698"/>
    <n v="1"/>
    <n v="19.789592941903599"/>
    <s v="Pending"/>
    <n v="2.54754712154871"/>
    <x v="2"/>
    <x v="0"/>
    <n v="276.77833594679799"/>
  </r>
  <r>
    <x v="1"/>
    <x v="82"/>
    <n v="17.034930739467899"/>
    <n v="13"/>
    <n v="336"/>
    <n v="2943.3818676094502"/>
    <x v="2"/>
    <n v="42"/>
    <n v="19"/>
    <n v="72"/>
    <n v="1"/>
    <x v="1"/>
    <n v="4.7081818735419301"/>
    <x v="4"/>
    <x v="0"/>
    <n v="6"/>
    <n v="955"/>
    <n v="26"/>
    <n v="4.4652784349432402"/>
    <s v="Pending"/>
    <n v="4.1378770486223502"/>
    <x v="0"/>
    <x v="1"/>
    <n v="589.97855562804"/>
  </r>
  <r>
    <x v="0"/>
    <x v="83"/>
    <n v="68.911246211606297"/>
    <n v="82"/>
    <n v="663"/>
    <n v="2411.7546321104901"/>
    <x v="2"/>
    <n v="65"/>
    <n v="24"/>
    <n v="7"/>
    <n v="8"/>
    <x v="0"/>
    <n v="4.94983957799694"/>
    <x v="1"/>
    <x v="3"/>
    <n v="20"/>
    <n v="443"/>
    <n v="5"/>
    <n v="97.730593800533001"/>
    <s v="Fail"/>
    <n v="0.77300613406724705"/>
    <x v="0"/>
    <x v="2"/>
    <n v="682.97101822609295"/>
  </r>
  <r>
    <x v="0"/>
    <x v="84"/>
    <n v="89.104367292102197"/>
    <n v="99"/>
    <n v="618"/>
    <n v="2048.2900998487098"/>
    <x v="2"/>
    <n v="73"/>
    <n v="26"/>
    <n v="80"/>
    <n v="10"/>
    <x v="1"/>
    <n v="8.3816156249226292"/>
    <x v="2"/>
    <x v="4"/>
    <n v="24"/>
    <n v="589"/>
    <n v="22"/>
    <n v="33.808636513209002"/>
    <s v="Pass"/>
    <n v="4.8434565771180402"/>
    <x v="1"/>
    <x v="0"/>
    <n v="465.45700596368698"/>
  </r>
  <r>
    <x v="2"/>
    <x v="85"/>
    <n v="76.962994415193805"/>
    <n v="83"/>
    <n v="25"/>
    <n v="8684.6130592538502"/>
    <x v="1"/>
    <n v="15"/>
    <n v="18"/>
    <n v="66"/>
    <n v="2"/>
    <x v="2"/>
    <n v="8.2491687048717193"/>
    <x v="2"/>
    <x v="4"/>
    <n v="4"/>
    <n v="211"/>
    <n v="2"/>
    <n v="69.929345518672307"/>
    <s v="Fail"/>
    <n v="1.3744289997457499"/>
    <x v="0"/>
    <x v="0"/>
    <n v="842.68683000464102"/>
  </r>
  <r>
    <x v="1"/>
    <x v="86"/>
    <n v="19.9981769404042"/>
    <n v="18"/>
    <n v="223"/>
    <n v="1229.59102856498"/>
    <x v="2"/>
    <n v="32"/>
    <n v="14"/>
    <n v="22"/>
    <n v="6"/>
    <x v="0"/>
    <n v="1.4543053101535499"/>
    <x v="1"/>
    <x v="0"/>
    <n v="4"/>
    <n v="569"/>
    <n v="18"/>
    <n v="74.608969995194599"/>
    <s v="Pass"/>
    <n v="2.0515129307662399"/>
    <x v="2"/>
    <x v="2"/>
    <n v="264.25488983586598"/>
  </r>
  <r>
    <x v="0"/>
    <x v="87"/>
    <n v="80.414036650355698"/>
    <n v="24"/>
    <n v="79"/>
    <n v="5133.8467010866898"/>
    <x v="3"/>
    <n v="5"/>
    <n v="7"/>
    <n v="55"/>
    <n v="10"/>
    <x v="1"/>
    <n v="6.5758037975485299"/>
    <x v="0"/>
    <x v="4"/>
    <n v="27"/>
    <n v="523"/>
    <n v="17"/>
    <n v="28.696996824143099"/>
    <s v="Fail"/>
    <n v="3.6937377878392699"/>
    <x v="3"/>
    <x v="0"/>
    <n v="879.35921773492396"/>
  </r>
  <r>
    <x v="2"/>
    <x v="88"/>
    <n v="75.270406975724995"/>
    <n v="58"/>
    <n v="737"/>
    <n v="9444.7420330629793"/>
    <x v="3"/>
    <n v="60"/>
    <n v="18"/>
    <n v="85"/>
    <n v="7"/>
    <x v="1"/>
    <n v="3.8012531329310701"/>
    <x v="4"/>
    <x v="0"/>
    <n v="21"/>
    <n v="953"/>
    <n v="11"/>
    <n v="68.1849190570411"/>
    <s v="Pending"/>
    <n v="0.722204401882931"/>
    <x v="3"/>
    <x v="2"/>
    <n v="103.916247960704"/>
  </r>
  <r>
    <x v="2"/>
    <x v="89"/>
    <n v="97.760085581938597"/>
    <n v="10"/>
    <n v="134"/>
    <n v="5924.6825668532301"/>
    <x v="2"/>
    <n v="90"/>
    <n v="1"/>
    <n v="27"/>
    <n v="8"/>
    <x v="0"/>
    <n v="9.9298162452772498"/>
    <x v="1"/>
    <x v="1"/>
    <n v="23"/>
    <n v="370"/>
    <n v="11"/>
    <n v="46.603873381644398"/>
    <s v="Pending"/>
    <n v="1.9076657339590699"/>
    <x v="2"/>
    <x v="0"/>
    <n v="517.49997392906005"/>
  </r>
  <r>
    <x v="1"/>
    <x v="90"/>
    <n v="13.881913501359101"/>
    <n v="56"/>
    <n v="320"/>
    <n v="9592.6335702803099"/>
    <x v="0"/>
    <n v="66"/>
    <n v="18"/>
    <n v="96"/>
    <n v="7"/>
    <x v="0"/>
    <n v="7.6744307081126903"/>
    <x v="0"/>
    <x v="3"/>
    <n v="8"/>
    <n v="585"/>
    <n v="8"/>
    <n v="85.675963335797903"/>
    <s v="Pass"/>
    <n v="1.2193822244013801"/>
    <x v="2"/>
    <x v="0"/>
    <n v="990.07847250581096"/>
  </r>
  <r>
    <x v="2"/>
    <x v="91"/>
    <n v="62.111965463961702"/>
    <n v="90"/>
    <n v="916"/>
    <n v="1935.20679350759"/>
    <x v="3"/>
    <n v="98"/>
    <n v="22"/>
    <n v="85"/>
    <n v="7"/>
    <x v="0"/>
    <n v="7.4715140844011403"/>
    <x v="3"/>
    <x v="2"/>
    <n v="5"/>
    <n v="207"/>
    <n v="28"/>
    <n v="39.772882502339897"/>
    <s v="Pending"/>
    <n v="0.62600185820939402"/>
    <x v="2"/>
    <x v="0"/>
    <n v="996.77831495062298"/>
  </r>
  <r>
    <x v="2"/>
    <x v="92"/>
    <n v="47.714233075820196"/>
    <n v="44"/>
    <n v="276"/>
    <n v="2100.1297546259302"/>
    <x v="3"/>
    <n v="90"/>
    <n v="25"/>
    <n v="10"/>
    <n v="8"/>
    <x v="0"/>
    <n v="4.4695000261236002"/>
    <x v="4"/>
    <x v="0"/>
    <n v="4"/>
    <n v="671"/>
    <n v="29"/>
    <n v="62.612690395614301"/>
    <s v="Pass"/>
    <n v="0.33343182522473902"/>
    <x v="2"/>
    <x v="0"/>
    <n v="230.092782536762"/>
  </r>
  <r>
    <x v="0"/>
    <x v="93"/>
    <n v="69.290831002905406"/>
    <n v="88"/>
    <n v="114"/>
    <n v="4531.4021336919004"/>
    <x v="2"/>
    <n v="63"/>
    <n v="17"/>
    <n v="66"/>
    <n v="1"/>
    <x v="2"/>
    <n v="7.00643205900439"/>
    <x v="3"/>
    <x v="4"/>
    <n v="21"/>
    <n v="824"/>
    <n v="20"/>
    <n v="35.633652343343797"/>
    <s v="Fail"/>
    <n v="4.1657817954241398"/>
    <x v="1"/>
    <x v="2"/>
    <n v="823.52384588815505"/>
  </r>
  <r>
    <x v="2"/>
    <x v="94"/>
    <n v="3.0376887246314102"/>
    <n v="97"/>
    <n v="987"/>
    <n v="7888.3565466618702"/>
    <x v="2"/>
    <n v="77"/>
    <n v="26"/>
    <n v="72"/>
    <n v="9"/>
    <x v="0"/>
    <n v="6.9429459420325799"/>
    <x v="4"/>
    <x v="2"/>
    <n v="12"/>
    <n v="908"/>
    <n v="14"/>
    <n v="60.387378614862101"/>
    <s v="Pass"/>
    <n v="1.4636074984727701"/>
    <x v="2"/>
    <x v="0"/>
    <n v="846.66525698669398"/>
  </r>
  <r>
    <x v="0"/>
    <x v="95"/>
    <n v="77.903927219447695"/>
    <n v="65"/>
    <n v="672"/>
    <n v="7386.3639440486604"/>
    <x v="2"/>
    <n v="15"/>
    <n v="14"/>
    <n v="26"/>
    <n v="9"/>
    <x v="0"/>
    <n v="8.6303388696027508"/>
    <x v="3"/>
    <x v="0"/>
    <n v="18"/>
    <n v="450"/>
    <n v="26"/>
    <n v="58.890685768589897"/>
    <s v="Pending"/>
    <n v="1.21088212958506"/>
    <x v="1"/>
    <x v="2"/>
    <n v="778.86424137664699"/>
  </r>
  <r>
    <x v="2"/>
    <x v="96"/>
    <n v="24.423131420373299"/>
    <n v="29"/>
    <n v="324"/>
    <n v="7698.4247656321104"/>
    <x v="0"/>
    <n v="67"/>
    <n v="2"/>
    <n v="32"/>
    <n v="3"/>
    <x v="2"/>
    <n v="5.3528780439967996"/>
    <x v="0"/>
    <x v="0"/>
    <n v="28"/>
    <n v="648"/>
    <n v="28"/>
    <n v="17.803756331391199"/>
    <s v="Pending"/>
    <n v="3.8720476814821301"/>
    <x v="0"/>
    <x v="2"/>
    <n v="188.74214114905601"/>
  </r>
  <r>
    <x v="0"/>
    <x v="97"/>
    <n v="3.5261112591434101"/>
    <n v="56"/>
    <n v="62"/>
    <n v="4370.9165799845296"/>
    <x v="3"/>
    <n v="46"/>
    <n v="19"/>
    <n v="4"/>
    <n v="9"/>
    <x v="1"/>
    <n v="7.9048456112096703"/>
    <x v="3"/>
    <x v="0"/>
    <n v="10"/>
    <n v="535"/>
    <n v="13"/>
    <n v="65.765155926367399"/>
    <s v="Fail"/>
    <n v="3.3762378347179798"/>
    <x v="0"/>
    <x v="2"/>
    <n v="540.13242286796697"/>
  </r>
  <r>
    <x v="1"/>
    <x v="98"/>
    <n v="19.754604866878601"/>
    <n v="43"/>
    <n v="913"/>
    <n v="8525.9525596835192"/>
    <x v="1"/>
    <n v="53"/>
    <n v="1"/>
    <n v="27"/>
    <n v="7"/>
    <x v="0"/>
    <n v="1.4098010951380699"/>
    <x v="2"/>
    <x v="4"/>
    <n v="28"/>
    <n v="581"/>
    <n v="9"/>
    <n v="5.6046908643717801"/>
    <s v="Pending"/>
    <n v="2.9081221693512598"/>
    <x v="2"/>
    <x v="2"/>
    <n v="882.19886354704101"/>
  </r>
  <r>
    <x v="0"/>
    <x v="99"/>
    <n v="68.517832699276596"/>
    <n v="17"/>
    <n v="627"/>
    <n v="9185.1858291817007"/>
    <x v="2"/>
    <n v="55"/>
    <n v="8"/>
    <n v="59"/>
    <n v="6"/>
    <x v="0"/>
    <n v="1.3110237561206199"/>
    <x v="4"/>
    <x v="4"/>
    <n v="29"/>
    <n v="921"/>
    <n v="2"/>
    <n v="38.072898520625998"/>
    <s v="Fail"/>
    <n v="0.34602729070550298"/>
    <x v="2"/>
    <x v="0"/>
    <n v="210.74300896424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C6E7D4C-8556-4074-A971-D8A157F1A3D0}" name="PivotTable40" cacheId="95"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5" rowHeaderCaption="TOP 5 SKUs by revenue">
  <location ref="N51:O61" firstHeaderRow="1" firstDataRow="1" firstDataCol="1"/>
  <pivotFields count="27">
    <pivotField showAll="0">
      <items count="4">
        <item x="2"/>
        <item x="0"/>
        <item x="1"/>
        <item t="default"/>
      </items>
    </pivotField>
    <pivotField axis="axisRow" showAll="0" measureFilter="1" sortType="descending">
      <items count="101">
        <item x="0"/>
        <item x="1"/>
        <item x="10"/>
        <item x="11"/>
        <item x="12"/>
        <item x="13"/>
        <item x="14"/>
        <item x="15"/>
        <item x="16"/>
        <item x="17"/>
        <item x="18"/>
        <item x="19"/>
        <item x="2"/>
        <item x="20"/>
        <item x="21"/>
        <item x="22"/>
        <item x="23"/>
        <item x="24"/>
        <item x="25"/>
        <item x="26"/>
        <item x="27"/>
        <item x="28"/>
        <item x="29"/>
        <item x="3"/>
        <item x="30"/>
        <item x="31"/>
        <item x="32"/>
        <item x="33"/>
        <item x="34"/>
        <item x="35"/>
        <item x="36"/>
        <item x="37"/>
        <item x="38"/>
        <item x="39"/>
        <item x="4"/>
        <item x="40"/>
        <item x="41"/>
        <item x="42"/>
        <item x="43"/>
        <item x="44"/>
        <item x="45"/>
        <item x="46"/>
        <item x="47"/>
        <item x="48"/>
        <item x="49"/>
        <item x="5"/>
        <item x="50"/>
        <item x="51"/>
        <item x="52"/>
        <item x="53"/>
        <item x="54"/>
        <item x="55"/>
        <item x="56"/>
        <item x="57"/>
        <item x="58"/>
        <item x="59"/>
        <item x="6"/>
        <item x="60"/>
        <item x="61"/>
        <item x="62"/>
        <item x="63"/>
        <item x="64"/>
        <item x="65"/>
        <item x="66"/>
        <item x="67"/>
        <item x="68"/>
        <item x="69"/>
        <item x="7"/>
        <item x="70"/>
        <item x="71"/>
        <item x="72"/>
        <item x="73"/>
        <item x="74"/>
        <item x="75"/>
        <item x="76"/>
        <item x="77"/>
        <item x="78"/>
        <item x="79"/>
        <item x="8"/>
        <item x="80"/>
        <item x="81"/>
        <item x="82"/>
        <item x="83"/>
        <item x="84"/>
        <item x="85"/>
        <item x="86"/>
        <item x="87"/>
        <item x="88"/>
        <item x="89"/>
        <item x="9"/>
        <item x="90"/>
        <item x="91"/>
        <item x="92"/>
        <item x="93"/>
        <item x="94"/>
        <item x="95"/>
        <item x="96"/>
        <item x="97"/>
        <item x="98"/>
        <item x="99"/>
        <item t="default"/>
      </items>
      <autoSortScope>
        <pivotArea dataOnly="0" outline="0" fieldPosition="0">
          <references count="1">
            <reference field="4294967294" count="1" selected="0">
              <x v="0"/>
            </reference>
          </references>
        </pivotArea>
      </autoSortScope>
    </pivotField>
    <pivotField showAll="0"/>
    <pivotField showAll="0"/>
    <pivotField showAll="0"/>
    <pivotField dataField="1" showAll="0"/>
    <pivotField showAll="0">
      <items count="5">
        <item x="1"/>
        <item x="3"/>
        <item x="0"/>
        <item x="2"/>
        <item t="default"/>
      </items>
    </pivotField>
    <pivotField showAll="0"/>
    <pivotField showAll="0"/>
    <pivotField showAll="0"/>
    <pivotField showAll="0"/>
    <pivotField showAll="0">
      <items count="4">
        <item x="1"/>
        <item x="0"/>
        <item x="2"/>
        <item t="default"/>
      </items>
    </pivotField>
    <pivotField showAll="0"/>
    <pivotField showAll="0">
      <items count="6">
        <item x="1"/>
        <item x="4"/>
        <item x="0"/>
        <item x="3"/>
        <item x="2"/>
        <item t="default"/>
      </items>
    </pivotField>
    <pivotField showAll="0">
      <items count="6">
        <item x="3"/>
        <item x="4"/>
        <item x="2"/>
        <item x="1"/>
        <item x="0"/>
        <item t="default"/>
      </items>
    </pivotField>
    <pivotField showAll="0"/>
    <pivotField showAll="0"/>
    <pivotField showAll="0"/>
    <pivotField showAll="0"/>
    <pivotField showAll="0"/>
    <pivotField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1"/>
  </rowFields>
  <rowItems count="10">
    <i>
      <x v="47"/>
    </i>
    <i>
      <x v="32"/>
    </i>
    <i>
      <x v="25"/>
    </i>
    <i>
      <x v="90"/>
    </i>
    <i>
      <x v="12"/>
    </i>
    <i>
      <x v="26"/>
    </i>
    <i>
      <x v="64"/>
    </i>
    <i>
      <x v="87"/>
    </i>
    <i>
      <x v="48"/>
    </i>
    <i>
      <x v="10"/>
    </i>
  </rowItems>
  <colItems count="1">
    <i/>
  </colItems>
  <dataFields count="1">
    <dataField name="Sum of Revenue generated" fld="5" baseField="0" baseItem="0"/>
  </dataFields>
  <formats count="12">
    <format dxfId="15">
      <pivotArea collapsedLevelsAreSubtotals="1" fieldPosition="0">
        <references count="1">
          <reference field="1" count="1">
            <x v="47"/>
          </reference>
        </references>
      </pivotArea>
    </format>
    <format dxfId="14">
      <pivotArea dataOnly="0" labelOnly="1" fieldPosition="0">
        <references count="1">
          <reference field="1" count="1">
            <x v="47"/>
          </reference>
        </references>
      </pivotArea>
    </format>
    <format dxfId="13">
      <pivotArea type="all" dataOnly="0" outline="0" fieldPosition="0"/>
    </format>
    <format dxfId="12">
      <pivotArea outline="0" collapsedLevelsAreSubtotals="1" fieldPosition="0"/>
    </format>
    <format dxfId="11">
      <pivotArea field="1" type="button" dataOnly="0" labelOnly="1" outline="0" axis="axisRow" fieldPosition="0"/>
    </format>
    <format dxfId="10">
      <pivotArea dataOnly="0" labelOnly="1" fieldPosition="0">
        <references count="1">
          <reference field="1" count="10">
            <x v="10"/>
            <x v="12"/>
            <x v="25"/>
            <x v="26"/>
            <x v="32"/>
            <x v="47"/>
            <x v="48"/>
            <x v="64"/>
            <x v="87"/>
            <x v="90"/>
          </reference>
        </references>
      </pivotArea>
    </format>
    <format dxfId="9">
      <pivotArea dataOnly="0" labelOnly="1" outline="0" axis="axisValues" fieldPosition="0"/>
    </format>
    <format dxfId="8">
      <pivotArea type="all" dataOnly="0" outline="0" fieldPosition="0"/>
    </format>
    <format dxfId="7">
      <pivotArea outline="0" collapsedLevelsAreSubtotals="1" fieldPosition="0"/>
    </format>
    <format dxfId="6">
      <pivotArea field="1" type="button" dataOnly="0" labelOnly="1" outline="0" axis="axisRow" fieldPosition="0"/>
    </format>
    <format dxfId="5">
      <pivotArea dataOnly="0" labelOnly="1" fieldPosition="0">
        <references count="1">
          <reference field="1" count="10">
            <x v="10"/>
            <x v="12"/>
            <x v="25"/>
            <x v="26"/>
            <x v="32"/>
            <x v="47"/>
            <x v="48"/>
            <x v="64"/>
            <x v="87"/>
            <x v="90"/>
          </reference>
        </references>
      </pivotArea>
    </format>
    <format dxfId="4">
      <pivotArea dataOnly="0" labelOnly="1" outline="0" axis="axisValues" fieldPosition="0"/>
    </format>
  </formats>
  <chartFormats count="1">
    <chartFormat chart="4" format="2" series="1">
      <pivotArea type="data" outline="0" fieldPosition="0">
        <references count="1">
          <reference field="4294967294" count="1" selected="0">
            <x v="0"/>
          </reference>
        </references>
      </pivotArea>
    </chartFormat>
  </chartFormats>
  <pivotTableStyleInfo name="PivotStyleLight17" showRowHeaders="1" showColHeaders="1" showRowStripes="0" showColStripes="0" showLastColumn="1"/>
  <filters count="1">
    <filter fld="1"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6FA486C-959B-4013-B52D-70AB3C2887E4}" name="PivotTable39" cacheId="95"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Bottom 10 SKUs by stock level">
  <location ref="Q51:R63" firstHeaderRow="1" firstDataRow="1" firstDataCol="1"/>
  <pivotFields count="27">
    <pivotField showAll="0">
      <items count="4">
        <item x="2"/>
        <item x="0"/>
        <item x="1"/>
        <item t="default"/>
      </items>
    </pivotField>
    <pivotField axis="axisRow" showAll="0" measureFilter="1" sortType="ascending">
      <items count="101">
        <item x="0"/>
        <item x="1"/>
        <item x="10"/>
        <item x="11"/>
        <item x="12"/>
        <item x="13"/>
        <item x="14"/>
        <item x="15"/>
        <item x="16"/>
        <item x="17"/>
        <item x="18"/>
        <item x="19"/>
        <item x="2"/>
        <item x="20"/>
        <item x="21"/>
        <item x="22"/>
        <item x="23"/>
        <item x="24"/>
        <item x="25"/>
        <item x="26"/>
        <item x="27"/>
        <item x="28"/>
        <item x="29"/>
        <item x="3"/>
        <item x="30"/>
        <item x="31"/>
        <item x="32"/>
        <item x="33"/>
        <item x="34"/>
        <item x="35"/>
        <item x="36"/>
        <item x="37"/>
        <item x="38"/>
        <item x="39"/>
        <item x="4"/>
        <item x="40"/>
        <item x="41"/>
        <item x="42"/>
        <item x="43"/>
        <item x="44"/>
        <item x="45"/>
        <item x="46"/>
        <item x="47"/>
        <item x="48"/>
        <item x="49"/>
        <item x="5"/>
        <item x="50"/>
        <item x="51"/>
        <item x="52"/>
        <item x="53"/>
        <item x="54"/>
        <item x="55"/>
        <item x="56"/>
        <item x="57"/>
        <item x="58"/>
        <item x="59"/>
        <item x="6"/>
        <item x="60"/>
        <item x="61"/>
        <item x="62"/>
        <item x="63"/>
        <item x="64"/>
        <item x="65"/>
        <item x="66"/>
        <item x="67"/>
        <item x="68"/>
        <item x="69"/>
        <item x="7"/>
        <item x="70"/>
        <item x="71"/>
        <item x="72"/>
        <item x="73"/>
        <item x="74"/>
        <item x="75"/>
        <item x="76"/>
        <item x="77"/>
        <item x="78"/>
        <item x="79"/>
        <item x="8"/>
        <item x="80"/>
        <item x="81"/>
        <item x="82"/>
        <item x="83"/>
        <item x="84"/>
        <item x="85"/>
        <item x="86"/>
        <item x="87"/>
        <item x="88"/>
        <item x="89"/>
        <item x="9"/>
        <item x="90"/>
        <item x="91"/>
        <item x="92"/>
        <item x="93"/>
        <item x="94"/>
        <item x="95"/>
        <item x="96"/>
        <item x="97"/>
        <item x="98"/>
        <item x="99"/>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items count="5">
        <item x="1"/>
        <item x="3"/>
        <item x="0"/>
        <item x="2"/>
        <item t="default"/>
      </items>
    </pivotField>
    <pivotField dataField="1" showAll="0"/>
    <pivotField showAll="0"/>
    <pivotField showAll="0"/>
    <pivotField showAll="0"/>
    <pivotField showAll="0">
      <items count="4">
        <item x="1"/>
        <item x="0"/>
        <item x="2"/>
        <item t="default"/>
      </items>
    </pivotField>
    <pivotField showAll="0"/>
    <pivotField showAll="0">
      <items count="6">
        <item x="1"/>
        <item x="4"/>
        <item x="0"/>
        <item x="3"/>
        <item x="2"/>
        <item t="default"/>
      </items>
    </pivotField>
    <pivotField showAll="0">
      <items count="6">
        <item x="3"/>
        <item x="4"/>
        <item x="2"/>
        <item x="1"/>
        <item x="0"/>
        <item t="default"/>
      </items>
    </pivotField>
    <pivotField showAll="0"/>
    <pivotField showAll="0"/>
    <pivotField showAll="0"/>
    <pivotField showAll="0"/>
    <pivotField showAll="0"/>
    <pivotField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1"/>
  </rowFields>
  <rowItems count="12">
    <i>
      <x v="65"/>
    </i>
    <i>
      <x v="12"/>
    </i>
    <i>
      <x v="28"/>
    </i>
    <i>
      <x v="8"/>
    </i>
    <i>
      <x v="27"/>
    </i>
    <i>
      <x v="17"/>
    </i>
    <i>
      <x v="42"/>
    </i>
    <i>
      <x v="34"/>
    </i>
    <i>
      <x v="76"/>
    </i>
    <i>
      <x v="78"/>
    </i>
    <i>
      <x v="53"/>
    </i>
    <i>
      <x v="86"/>
    </i>
  </rowItems>
  <colItems count="1">
    <i/>
  </colItems>
  <dataFields count="1">
    <dataField name="Sum of Stock levels" fld="7" baseField="0" baseItem="0"/>
  </dataFields>
  <formats count="14">
    <format dxfId="29">
      <pivotArea type="all" dataOnly="0" outline="0" fieldPosition="0"/>
    </format>
    <format dxfId="28">
      <pivotArea outline="0" collapsedLevelsAreSubtotals="1" fieldPosition="0"/>
    </format>
    <format dxfId="27">
      <pivotArea field="1" type="button" dataOnly="0" labelOnly="1" outline="0" axis="axisRow" fieldPosition="0"/>
    </format>
    <format dxfId="26">
      <pivotArea dataOnly="0" labelOnly="1" fieldPosition="0">
        <references count="1">
          <reference field="1" count="12">
            <x v="8"/>
            <x v="12"/>
            <x v="17"/>
            <x v="27"/>
            <x v="28"/>
            <x v="34"/>
            <x v="42"/>
            <x v="53"/>
            <x v="65"/>
            <x v="76"/>
            <x v="78"/>
            <x v="86"/>
          </reference>
        </references>
      </pivotArea>
    </format>
    <format dxfId="25">
      <pivotArea dataOnly="0" labelOnly="1" outline="0" axis="axisValues" fieldPosition="0"/>
    </format>
    <format dxfId="24">
      <pivotArea collapsedLevelsAreSubtotals="1" fieldPosition="0">
        <references count="1">
          <reference field="1" count="1">
            <x v="65"/>
          </reference>
        </references>
      </pivotArea>
    </format>
    <format dxfId="23">
      <pivotArea dataOnly="0" labelOnly="1" fieldPosition="0">
        <references count="1">
          <reference field="1" count="1">
            <x v="65"/>
          </reference>
        </references>
      </pivotArea>
    </format>
    <format dxfId="22">
      <pivotArea collapsedLevelsAreSubtotals="1" fieldPosition="0">
        <references count="1">
          <reference field="1" count="4">
            <x v="8"/>
            <x v="12"/>
            <x v="28"/>
            <x v="65"/>
          </reference>
        </references>
      </pivotArea>
    </format>
    <format dxfId="21">
      <pivotArea dataOnly="0" labelOnly="1" fieldPosition="0">
        <references count="1">
          <reference field="1" count="4">
            <x v="8"/>
            <x v="12"/>
            <x v="28"/>
            <x v="65"/>
          </reference>
        </references>
      </pivotArea>
    </format>
    <format dxfId="20">
      <pivotArea type="all" dataOnly="0" outline="0" fieldPosition="0"/>
    </format>
    <format dxfId="19">
      <pivotArea outline="0" collapsedLevelsAreSubtotals="1" fieldPosition="0"/>
    </format>
    <format dxfId="18">
      <pivotArea field="1" type="button" dataOnly="0" labelOnly="1" outline="0" axis="axisRow" fieldPosition="0"/>
    </format>
    <format dxfId="17">
      <pivotArea dataOnly="0" labelOnly="1" fieldPosition="0">
        <references count="1">
          <reference field="1" count="12">
            <x v="8"/>
            <x v="12"/>
            <x v="17"/>
            <x v="27"/>
            <x v="28"/>
            <x v="34"/>
            <x v="42"/>
            <x v="53"/>
            <x v="65"/>
            <x v="76"/>
            <x v="78"/>
            <x v="86"/>
          </reference>
        </references>
      </pivotArea>
    </format>
    <format dxfId="16">
      <pivotArea dataOnly="0" labelOnly="1" outline="0" axis="axisValues" fieldPosition="0"/>
    </format>
  </formats>
  <pivotTableStyleInfo name="PivotStyleLight17" showRowHeaders="1" showColHeaders="1" showRowStripes="0" showColStripes="0" showLastColumn="1"/>
  <filters count="1">
    <filter fld="1" type="count" evalOrder="-1" id="2" iMeasureFld="0">
      <autoFilter ref="A1">
        <filterColumn colId="0">
          <top10 top="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6935BA9-EE29-4102-8747-5B21BF0669DA}" name="PivotTable38" cacheId="95" applyNumberFormats="0" applyBorderFormats="0" applyFontFormats="0" applyPatternFormats="0" applyAlignmentFormats="0" applyWidthHeightFormats="1" dataCaption="Values" grandTotalCaption="Avg" updatedVersion="8" minRefreshableVersion="3" useAutoFormatting="1" rowGrandTotals="0" colGrandTotals="0" itemPrintTitles="1" createdVersion="8" indent="0" outline="1" outlineData="1" multipleFieldFilters="0" rowHeaderCaption="TOP 10 SKUs by profit">
  <location ref="J51:L61" firstHeaderRow="0" firstDataRow="1" firstDataCol="1"/>
  <pivotFields count="27">
    <pivotField showAll="0">
      <items count="4">
        <item x="2"/>
        <item x="0"/>
        <item x="1"/>
        <item t="default"/>
      </items>
    </pivotField>
    <pivotField axis="axisRow" showAll="0" measureFilter="1" sortType="descending">
      <items count="101">
        <item x="0"/>
        <item x="1"/>
        <item x="10"/>
        <item x="11"/>
        <item x="12"/>
        <item x="13"/>
        <item x="14"/>
        <item x="15"/>
        <item x="16"/>
        <item x="17"/>
        <item x="18"/>
        <item x="19"/>
        <item x="2"/>
        <item x="20"/>
        <item x="21"/>
        <item x="22"/>
        <item x="23"/>
        <item x="24"/>
        <item x="25"/>
        <item x="26"/>
        <item x="27"/>
        <item x="28"/>
        <item x="29"/>
        <item x="3"/>
        <item x="30"/>
        <item x="31"/>
        <item x="32"/>
        <item x="33"/>
        <item x="34"/>
        <item x="35"/>
        <item x="36"/>
        <item x="37"/>
        <item x="38"/>
        <item x="39"/>
        <item x="4"/>
        <item x="40"/>
        <item x="41"/>
        <item x="42"/>
        <item x="43"/>
        <item x="44"/>
        <item x="45"/>
        <item x="46"/>
        <item x="47"/>
        <item x="48"/>
        <item x="49"/>
        <item x="5"/>
        <item x="50"/>
        <item x="51"/>
        <item x="52"/>
        <item x="53"/>
        <item x="54"/>
        <item x="55"/>
        <item x="56"/>
        <item x="57"/>
        <item x="58"/>
        <item x="59"/>
        <item x="6"/>
        <item x="60"/>
        <item x="61"/>
        <item x="62"/>
        <item x="63"/>
        <item x="64"/>
        <item x="65"/>
        <item x="66"/>
        <item x="67"/>
        <item x="68"/>
        <item x="69"/>
        <item x="7"/>
        <item x="70"/>
        <item x="71"/>
        <item x="72"/>
        <item x="73"/>
        <item x="74"/>
        <item x="75"/>
        <item x="76"/>
        <item x="77"/>
        <item x="78"/>
        <item x="79"/>
        <item x="8"/>
        <item x="80"/>
        <item x="81"/>
        <item x="82"/>
        <item x="83"/>
        <item x="84"/>
        <item x="85"/>
        <item x="86"/>
        <item x="87"/>
        <item x="88"/>
        <item x="89"/>
        <item x="9"/>
        <item x="90"/>
        <item x="91"/>
        <item x="92"/>
        <item x="93"/>
        <item x="94"/>
        <item x="95"/>
        <item x="96"/>
        <item x="97"/>
        <item x="98"/>
        <item x="99"/>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items count="5">
        <item x="1"/>
        <item x="3"/>
        <item x="0"/>
        <item x="2"/>
        <item t="default"/>
      </items>
    </pivotField>
    <pivotField showAll="0"/>
    <pivotField showAll="0"/>
    <pivotField showAll="0"/>
    <pivotField showAll="0"/>
    <pivotField showAll="0">
      <items count="4">
        <item x="1"/>
        <item x="0"/>
        <item x="2"/>
        <item t="default"/>
      </items>
    </pivotField>
    <pivotField showAll="0"/>
    <pivotField showAll="0">
      <items count="6">
        <item x="1"/>
        <item x="4"/>
        <item x="0"/>
        <item x="3"/>
        <item x="2"/>
        <item t="default"/>
      </items>
    </pivotField>
    <pivotField showAll="0">
      <items count="6">
        <item x="3"/>
        <item x="4"/>
        <item x="2"/>
        <item x="1"/>
        <item x="0"/>
        <item t="default"/>
      </items>
    </pivotField>
    <pivotField showAll="0"/>
    <pivotField showAll="0"/>
    <pivotField showAll="0"/>
    <pivotField showAll="0"/>
    <pivotField showAll="0"/>
    <pivotField showAll="0"/>
    <pivotField showAll="0"/>
    <pivotField showAll="0"/>
    <pivotField showAll="0"/>
    <pivotField dragToRow="0" dragToCol="0" dragToPage="0" showAll="0" defaultSubtotal="0"/>
    <pivotField dataField="1" dragToRow="0" dragToCol="0" dragToPage="0" showAll="0" defaultSubtotal="0"/>
    <pivotField dataField="1" dragToRow="0" dragToCol="0" dragToPage="0" showAll="0" defaultSubtotal="0"/>
  </pivotFields>
  <rowFields count="1">
    <field x="1"/>
  </rowFields>
  <rowItems count="10">
    <i>
      <x v="12"/>
    </i>
    <i>
      <x v="32"/>
    </i>
    <i>
      <x v="87"/>
    </i>
    <i>
      <x v="64"/>
    </i>
    <i>
      <x v="47"/>
    </i>
    <i>
      <x v="25"/>
    </i>
    <i>
      <x v="99"/>
    </i>
    <i>
      <x v="48"/>
    </i>
    <i>
      <x v="26"/>
    </i>
    <i>
      <x v="10"/>
    </i>
  </rowItems>
  <colFields count="1">
    <field x="-2"/>
  </colFields>
  <colItems count="2">
    <i>
      <x/>
    </i>
    <i i="1">
      <x v="1"/>
    </i>
  </colItems>
  <dataFields count="2">
    <dataField name="Average of Profit" fld="25" subtotal="average" baseField="0" baseItem="0"/>
    <dataField name="Average of Margin" fld="26" subtotal="average" baseField="0" baseItem="0"/>
  </dataFields>
  <formats count="11">
    <format dxfId="40">
      <pivotArea collapsedLevelsAreSubtotals="1" fieldPosition="0">
        <references count="1">
          <reference field="1" count="1">
            <x v="12"/>
          </reference>
        </references>
      </pivotArea>
    </format>
    <format dxfId="39">
      <pivotArea type="all" dataOnly="0" outline="0" fieldPosition="0"/>
    </format>
    <format dxfId="38">
      <pivotArea outline="0" collapsedLevelsAreSubtotals="1" fieldPosition="0"/>
    </format>
    <format dxfId="37">
      <pivotArea field="1" type="button" dataOnly="0" labelOnly="1" outline="0" axis="axisRow" fieldPosition="0"/>
    </format>
    <format dxfId="36">
      <pivotArea dataOnly="0" labelOnly="1" fieldPosition="0">
        <references count="1">
          <reference field="1" count="10">
            <x v="10"/>
            <x v="12"/>
            <x v="25"/>
            <x v="26"/>
            <x v="32"/>
            <x v="47"/>
            <x v="48"/>
            <x v="64"/>
            <x v="87"/>
            <x v="99"/>
          </reference>
        </references>
      </pivotArea>
    </format>
    <format dxfId="35">
      <pivotArea dataOnly="0" labelOnly="1" outline="0" fieldPosition="0">
        <references count="1">
          <reference field="4294967294" count="2">
            <x v="0"/>
            <x v="1"/>
          </reference>
        </references>
      </pivotArea>
    </format>
    <format dxfId="34">
      <pivotArea type="all" dataOnly="0" outline="0" fieldPosition="0"/>
    </format>
    <format dxfId="33">
      <pivotArea outline="0" collapsedLevelsAreSubtotals="1" fieldPosition="0"/>
    </format>
    <format dxfId="32">
      <pivotArea field="1" type="button" dataOnly="0" labelOnly="1" outline="0" axis="axisRow" fieldPosition="0"/>
    </format>
    <format dxfId="31">
      <pivotArea dataOnly="0" labelOnly="1" fieldPosition="0">
        <references count="1">
          <reference field="1" count="10">
            <x v="10"/>
            <x v="12"/>
            <x v="25"/>
            <x v="26"/>
            <x v="32"/>
            <x v="47"/>
            <x v="48"/>
            <x v="64"/>
            <x v="87"/>
            <x v="99"/>
          </reference>
        </references>
      </pivotArea>
    </format>
    <format dxfId="30">
      <pivotArea dataOnly="0" labelOnly="1" outline="0" fieldPosition="0">
        <references count="1">
          <reference field="4294967294" count="2">
            <x v="0"/>
            <x v="1"/>
          </reference>
        </references>
      </pivotArea>
    </format>
  </formats>
  <pivotTableStyleInfo name="PivotStyleLight17" showRowHeaders="1" showColHeaders="1" showRowStripes="0" showColStripes="0" showLastColumn="1"/>
  <filters count="1">
    <filter fld="1"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AC0C80-AD4E-4D84-8E36-E14AA51F8091}" name="PivotTable36" cacheId="95" applyNumberFormats="0" applyBorderFormats="0" applyFontFormats="0" applyPatternFormats="0" applyAlignmentFormats="0" applyWidthHeightFormats="1" dataCaption="Values" grandTotalCaption="Avg" updatedVersion="8" minRefreshableVersion="3" useAutoFormatting="1" colGrandTotals="0" itemPrintTitles="1" createdVersion="8" indent="0" outline="1" outlineData="1" multipleFieldFilters="0" rowHeaderCaption="">
  <location ref="E51:H67" firstHeaderRow="0" firstDataRow="1" firstDataCol="1"/>
  <pivotFields count="27">
    <pivotField showAll="0" defaultSubtotal="0">
      <items count="3">
        <item x="2"/>
        <item x="0"/>
        <item x="1"/>
      </items>
    </pivotField>
    <pivotField showAll="0" defaultSubtotal="0"/>
    <pivotField showAll="0" defaultSubtotal="0"/>
    <pivotField showAll="0" defaultSubtotal="0"/>
    <pivotField showAll="0" defaultSubtotal="0"/>
    <pivotField showAll="0" defaultSubtotal="0"/>
    <pivotField showAll="0" defaultSubtotal="0">
      <items count="4">
        <item x="1"/>
        <item x="3"/>
        <item x="0"/>
        <item x="2"/>
      </items>
    </pivotField>
    <pivotField showAll="0" defaultSubtotal="0"/>
    <pivotField showAll="0" defaultSubtotal="0"/>
    <pivotField showAll="0" defaultSubtotal="0"/>
    <pivotField showAll="0" defaultSubtotal="0"/>
    <pivotField axis="axisRow" showAll="0" defaultSubtotal="0">
      <items count="3">
        <item x="1"/>
        <item x="0"/>
        <item x="2"/>
      </items>
    </pivotField>
    <pivotField dataField="1" showAll="0" defaultSubtotal="0"/>
    <pivotField showAll="0" defaultSubtotal="0">
      <items count="5">
        <item x="1"/>
        <item x="4"/>
        <item x="0"/>
        <item x="3"/>
        <item x="2"/>
      </items>
    </pivotField>
    <pivotField showAll="0" defaultSubtotal="0">
      <items count="5">
        <item x="3"/>
        <item x="4"/>
        <item x="2"/>
        <item x="1"/>
        <item x="0"/>
      </items>
    </pivotField>
    <pivotField dataField="1" showAll="0" defaultSubtotal="0"/>
    <pivotField showAll="0" defaultSubtotal="0"/>
    <pivotField showAll="0" defaultSubtotal="0"/>
    <pivotField showAll="0" defaultSubtotal="0"/>
    <pivotField showAll="0" defaultSubtotal="0"/>
    <pivotField showAll="0" defaultSubtotal="0"/>
    <pivotField axis="axisRow" showAll="0" defaultSubtotal="0">
      <items count="4">
        <item x="1"/>
        <item x="2"/>
        <item x="0"/>
        <item x="3"/>
      </items>
    </pivotField>
    <pivotField showAll="0" defaultSubtotal="0">
      <items count="3">
        <item x="2"/>
        <item x="0"/>
        <item x="1"/>
      </items>
    </pivotField>
    <pivotField showAll="0" defaultSubtotal="0"/>
    <pivotField dataField="1" subtotalTop="0" dragToRow="0" dragToCol="0" dragToPage="0" showAll="0" defaultSubtotal="0"/>
    <pivotField subtotalTop="0" dragToRow="0" dragToCol="0" dragToPage="0" showAll="0" defaultSubtotal="0"/>
    <pivotField subtotalTop="0" dragToRow="0" dragToCol="0" dragToPage="0" showAll="0" defaultSubtotal="0"/>
  </pivotFields>
  <rowFields count="2">
    <field x="11"/>
    <field x="21"/>
  </rowFields>
  <rowItems count="16">
    <i>
      <x/>
    </i>
    <i r="1">
      <x/>
    </i>
    <i r="1">
      <x v="1"/>
    </i>
    <i r="1">
      <x v="2"/>
    </i>
    <i r="1">
      <x v="3"/>
    </i>
    <i>
      <x v="1"/>
    </i>
    <i r="1">
      <x/>
    </i>
    <i r="1">
      <x v="1"/>
    </i>
    <i r="1">
      <x v="2"/>
    </i>
    <i r="1">
      <x v="3"/>
    </i>
    <i>
      <x v="2"/>
    </i>
    <i r="1">
      <x/>
    </i>
    <i r="1">
      <x v="1"/>
    </i>
    <i r="1">
      <x v="2"/>
    </i>
    <i r="1">
      <x v="3"/>
    </i>
    <i t="grand">
      <x/>
    </i>
  </rowItems>
  <colFields count="1">
    <field x="-2"/>
  </colFields>
  <colItems count="3">
    <i>
      <x/>
    </i>
    <i i="1">
      <x v="1"/>
    </i>
    <i i="2">
      <x v="2"/>
    </i>
  </colItems>
  <dataFields count="3">
    <dataField name="Average of Shipping costs" fld="12" subtotal="average" baseField="21" baseItem="2"/>
    <dataField name="Average of Lead time" fld="15" subtotal="average" baseField="21" baseItem="0"/>
    <dataField name="Average of Shipping costs vs. lead time" fld="24" subtotal="average" baseField="11" baseItem="0"/>
  </dataFields>
  <formats count="18">
    <format dxfId="58">
      <pivotArea type="all" dataOnly="0" outline="0" fieldPosition="0"/>
    </format>
    <format dxfId="57">
      <pivotArea outline="0" collapsedLevelsAreSubtotals="1" fieldPosition="0"/>
    </format>
    <format dxfId="56">
      <pivotArea field="11" type="button" dataOnly="0" labelOnly="1" outline="0" axis="axisRow" fieldPosition="0"/>
    </format>
    <format dxfId="55">
      <pivotArea dataOnly="0" labelOnly="1" fieldPosition="0">
        <references count="1">
          <reference field="11" count="0"/>
        </references>
      </pivotArea>
    </format>
    <format dxfId="54">
      <pivotArea dataOnly="0" labelOnly="1" grandRow="1" outline="0" fieldPosition="0"/>
    </format>
    <format dxfId="53">
      <pivotArea dataOnly="0" labelOnly="1" fieldPosition="0">
        <references count="2">
          <reference field="11" count="1" selected="0">
            <x v="0"/>
          </reference>
          <reference field="21" count="0"/>
        </references>
      </pivotArea>
    </format>
    <format dxfId="52">
      <pivotArea dataOnly="0" labelOnly="1" fieldPosition="0">
        <references count="2">
          <reference field="11" count="1" selected="0">
            <x v="1"/>
          </reference>
          <reference field="21" count="0"/>
        </references>
      </pivotArea>
    </format>
    <format dxfId="51">
      <pivotArea dataOnly="0" labelOnly="1" fieldPosition="0">
        <references count="2">
          <reference field="11" count="1" selected="0">
            <x v="2"/>
          </reference>
          <reference field="21" count="0"/>
        </references>
      </pivotArea>
    </format>
    <format dxfId="50">
      <pivotArea dataOnly="0" labelOnly="1" outline="0" fieldPosition="0">
        <references count="1">
          <reference field="4294967294" count="3">
            <x v="0"/>
            <x v="1"/>
            <x v="2"/>
          </reference>
        </references>
      </pivotArea>
    </format>
    <format dxfId="49">
      <pivotArea type="all" dataOnly="0" outline="0" fieldPosition="0"/>
    </format>
    <format dxfId="48">
      <pivotArea outline="0" collapsedLevelsAreSubtotals="1" fieldPosition="0"/>
    </format>
    <format dxfId="47">
      <pivotArea field="11" type="button" dataOnly="0" labelOnly="1" outline="0" axis="axisRow" fieldPosition="0"/>
    </format>
    <format dxfId="46">
      <pivotArea dataOnly="0" labelOnly="1" fieldPosition="0">
        <references count="1">
          <reference field="11" count="0"/>
        </references>
      </pivotArea>
    </format>
    <format dxfId="45">
      <pivotArea dataOnly="0" labelOnly="1" grandRow="1" outline="0" fieldPosition="0"/>
    </format>
    <format dxfId="44">
      <pivotArea dataOnly="0" labelOnly="1" fieldPosition="0">
        <references count="2">
          <reference field="11" count="1" selected="0">
            <x v="0"/>
          </reference>
          <reference field="21" count="0"/>
        </references>
      </pivotArea>
    </format>
    <format dxfId="43">
      <pivotArea dataOnly="0" labelOnly="1" fieldPosition="0">
        <references count="2">
          <reference field="11" count="1" selected="0">
            <x v="1"/>
          </reference>
          <reference field="21" count="0"/>
        </references>
      </pivotArea>
    </format>
    <format dxfId="42">
      <pivotArea dataOnly="0" labelOnly="1" fieldPosition="0">
        <references count="2">
          <reference field="11" count="1" selected="0">
            <x v="2"/>
          </reference>
          <reference field="21" count="0"/>
        </references>
      </pivotArea>
    </format>
    <format dxfId="41">
      <pivotArea dataOnly="0" labelOnly="1" outline="0" fieldPosition="0">
        <references count="1">
          <reference field="4294967294" count="3">
            <x v="0"/>
            <x v="1"/>
            <x v="2"/>
          </reference>
        </references>
      </pivotArea>
    </format>
  </formats>
  <conditionalFormats count="1">
    <conditionalFormat type="all" priority="1">
      <pivotAreas count="5">
        <pivotArea type="data" collapsedLevelsAreSubtotals="1" fieldPosition="0">
          <references count="3">
            <reference field="4294967294" count="1" selected="0">
              <x v="2"/>
            </reference>
            <reference field="11" count="1" selected="0">
              <x v="0"/>
            </reference>
            <reference field="21" count="4">
              <x v="0"/>
              <x v="1"/>
              <x v="2"/>
              <x v="3"/>
            </reference>
          </references>
        </pivotArea>
        <pivotArea type="data" collapsedLevelsAreSubtotals="1" fieldPosition="0">
          <references count="2">
            <reference field="4294967294" count="1" selected="0">
              <x v="2"/>
            </reference>
            <reference field="11" count="1">
              <x v="1"/>
            </reference>
          </references>
        </pivotArea>
        <pivotArea type="data" collapsedLevelsAreSubtotals="1" fieldPosition="0">
          <references count="3">
            <reference field="4294967294" count="1" selected="0">
              <x v="2"/>
            </reference>
            <reference field="11" count="1" selected="0">
              <x v="1"/>
            </reference>
            <reference field="21" count="4">
              <x v="0"/>
              <x v="1"/>
              <x v="2"/>
              <x v="3"/>
            </reference>
          </references>
        </pivotArea>
        <pivotArea type="data" collapsedLevelsAreSubtotals="1" fieldPosition="0">
          <references count="2">
            <reference field="4294967294" count="1" selected="0">
              <x v="2"/>
            </reference>
            <reference field="11" count="1">
              <x v="2"/>
            </reference>
          </references>
        </pivotArea>
        <pivotArea type="data" collapsedLevelsAreSubtotals="1" fieldPosition="0">
          <references count="3">
            <reference field="4294967294" count="1" selected="0">
              <x v="2"/>
            </reference>
            <reference field="11" count="1" selected="0">
              <x v="2"/>
            </reference>
            <reference field="21" count="4">
              <x v="0"/>
              <x v="1"/>
              <x v="2"/>
              <x v="3"/>
            </reference>
          </references>
        </pivotArea>
      </pivotAreas>
    </conditionalFormat>
  </conditionalFormats>
  <pivotTableStyleInfo name="PivotStyleLight1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C135DE8-FCC1-491E-96E8-17B8DE1C0E57}" name="PivotTable29" cacheId="95" applyNumberFormats="0" applyBorderFormats="0" applyFontFormats="0" applyPatternFormats="0" applyAlignmentFormats="0" applyWidthHeightFormats="1" dataCaption="Values" grandTotalCaption="Avg" updatedVersion="8" minRefreshableVersion="3" useAutoFormatting="1" rowGrandTotals="0" colGrandTotals="0" itemPrintTitles="1" createdVersion="8" indent="0" outline="1" outlineData="1" multipleFieldFilters="0" rowHeaderCaption="TOP 10 SKUs by profit">
  <location ref="G34:I44" firstHeaderRow="0" firstDataRow="1" firstDataCol="1"/>
  <pivotFields count="27">
    <pivotField showAll="0">
      <items count="4">
        <item x="2"/>
        <item x="0"/>
        <item x="1"/>
        <item t="default"/>
      </items>
    </pivotField>
    <pivotField axis="axisRow" showAll="0" measureFilter="1" sortType="descending">
      <items count="101">
        <item x="0"/>
        <item x="1"/>
        <item x="10"/>
        <item x="11"/>
        <item x="12"/>
        <item x="13"/>
        <item x="14"/>
        <item x="15"/>
        <item x="16"/>
        <item x="17"/>
        <item x="18"/>
        <item x="19"/>
        <item x="2"/>
        <item x="20"/>
        <item x="21"/>
        <item x="22"/>
        <item x="23"/>
        <item x="24"/>
        <item x="25"/>
        <item x="26"/>
        <item x="27"/>
        <item x="28"/>
        <item x="29"/>
        <item x="3"/>
        <item x="30"/>
        <item x="31"/>
        <item x="32"/>
        <item x="33"/>
        <item x="34"/>
        <item x="35"/>
        <item x="36"/>
        <item x="37"/>
        <item x="38"/>
        <item x="39"/>
        <item x="4"/>
        <item x="40"/>
        <item x="41"/>
        <item x="42"/>
        <item x="43"/>
        <item x="44"/>
        <item x="45"/>
        <item x="46"/>
        <item x="47"/>
        <item x="48"/>
        <item x="49"/>
        <item x="5"/>
        <item x="50"/>
        <item x="51"/>
        <item x="52"/>
        <item x="53"/>
        <item x="54"/>
        <item x="55"/>
        <item x="56"/>
        <item x="57"/>
        <item x="58"/>
        <item x="59"/>
        <item x="6"/>
        <item x="60"/>
        <item x="61"/>
        <item x="62"/>
        <item x="63"/>
        <item x="64"/>
        <item x="65"/>
        <item x="66"/>
        <item x="67"/>
        <item x="68"/>
        <item x="69"/>
        <item x="7"/>
        <item x="70"/>
        <item x="71"/>
        <item x="72"/>
        <item x="73"/>
        <item x="74"/>
        <item x="75"/>
        <item x="76"/>
        <item x="77"/>
        <item x="78"/>
        <item x="79"/>
        <item x="8"/>
        <item x="80"/>
        <item x="81"/>
        <item x="82"/>
        <item x="83"/>
        <item x="84"/>
        <item x="85"/>
        <item x="86"/>
        <item x="87"/>
        <item x="88"/>
        <item x="89"/>
        <item x="9"/>
        <item x="90"/>
        <item x="91"/>
        <item x="92"/>
        <item x="93"/>
        <item x="94"/>
        <item x="95"/>
        <item x="96"/>
        <item x="97"/>
        <item x="98"/>
        <item x="99"/>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items count="5">
        <item x="1"/>
        <item x="3"/>
        <item x="0"/>
        <item x="2"/>
        <item t="default"/>
      </items>
    </pivotField>
    <pivotField showAll="0"/>
    <pivotField showAll="0"/>
    <pivotField showAll="0"/>
    <pivotField showAll="0"/>
    <pivotField showAll="0">
      <items count="4">
        <item x="1"/>
        <item x="0"/>
        <item x="2"/>
        <item t="default"/>
      </items>
    </pivotField>
    <pivotField showAll="0"/>
    <pivotField showAll="0">
      <items count="6">
        <item x="1"/>
        <item x="4"/>
        <item x="0"/>
        <item x="3"/>
        <item x="2"/>
        <item t="default"/>
      </items>
    </pivotField>
    <pivotField showAll="0">
      <items count="6">
        <item x="3"/>
        <item x="4"/>
        <item x="2"/>
        <item x="1"/>
        <item x="0"/>
        <item t="default"/>
      </items>
    </pivotField>
    <pivotField showAll="0"/>
    <pivotField showAll="0"/>
    <pivotField showAll="0"/>
    <pivotField showAll="0"/>
    <pivotField showAll="0"/>
    <pivotField showAll="0"/>
    <pivotField showAll="0"/>
    <pivotField showAll="0"/>
    <pivotField showAll="0"/>
    <pivotField dragToRow="0" dragToCol="0" dragToPage="0" showAll="0" defaultSubtotal="0"/>
    <pivotField dataField="1" dragToRow="0" dragToCol="0" dragToPage="0" showAll="0" defaultSubtotal="0"/>
    <pivotField dataField="1" dragToRow="0" dragToCol="0" dragToPage="0" showAll="0" defaultSubtotal="0"/>
  </pivotFields>
  <rowFields count="1">
    <field x="1"/>
  </rowFields>
  <rowItems count="10">
    <i>
      <x v="12"/>
    </i>
    <i>
      <x v="32"/>
    </i>
    <i>
      <x v="87"/>
    </i>
    <i>
      <x v="64"/>
    </i>
    <i>
      <x v="47"/>
    </i>
    <i>
      <x v="25"/>
    </i>
    <i>
      <x v="99"/>
    </i>
    <i>
      <x v="48"/>
    </i>
    <i>
      <x v="26"/>
    </i>
    <i>
      <x v="10"/>
    </i>
  </rowItems>
  <colFields count="1">
    <field x="-2"/>
  </colFields>
  <colItems count="2">
    <i>
      <x/>
    </i>
    <i i="1">
      <x v="1"/>
    </i>
  </colItems>
  <dataFields count="2">
    <dataField name="Average of Profit" fld="25" subtotal="average" baseField="0" baseItem="0"/>
    <dataField name="Average of Margin" fld="26" subtotal="average" baseField="0" baseItem="0"/>
  </dataFields>
  <formats count="1">
    <format dxfId="0">
      <pivotArea collapsedLevelsAreSubtotals="1" fieldPosition="0">
        <references count="1">
          <reference field="1" count="1">
            <x v="12"/>
          </reference>
        </references>
      </pivotArea>
    </format>
  </formats>
  <pivotTableStyleInfo name="PivotStyleLight16" showRowHeaders="1" showColHeaders="1" showRowStripes="0" showColStripes="0" showLastColumn="1"/>
  <filters count="1">
    <filter fld="1"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026D68F-6CAA-4D70-9527-4C63E8BA3D47}" name="PivotTable23" cacheId="95" applyNumberFormats="0" applyBorderFormats="0" applyFontFormats="0" applyPatternFormats="0" applyAlignmentFormats="0" applyWidthHeightFormats="1" dataCaption="Values" grandTotalCaption="Avg" updatedVersion="8" minRefreshableVersion="3" useAutoFormatting="1" colGrandTotals="0" itemPrintTitles="1" createdVersion="8" indent="0" outline="1" outlineData="1" multipleFieldFilters="0" chartFormat="9">
  <location ref="A25:C31" firstHeaderRow="0" firstDataRow="1" firstDataCol="1"/>
  <pivotFields count="27">
    <pivotField showAll="0">
      <items count="4">
        <item x="2"/>
        <item x="0"/>
        <item x="1"/>
        <item t="default"/>
      </items>
    </pivotField>
    <pivotField showAll="0"/>
    <pivotField showAll="0"/>
    <pivotField showAll="0"/>
    <pivotField showAll="0"/>
    <pivotField showAll="0"/>
    <pivotField showAll="0">
      <items count="5">
        <item x="1"/>
        <item x="3"/>
        <item x="0"/>
        <item x="2"/>
        <item t="default"/>
      </items>
    </pivotField>
    <pivotField showAll="0"/>
    <pivotField showAll="0"/>
    <pivotField showAll="0"/>
    <pivotField showAll="0"/>
    <pivotField showAll="0">
      <items count="4">
        <item x="1"/>
        <item x="0"/>
        <item x="2"/>
        <item t="default"/>
      </items>
    </pivotField>
    <pivotField showAll="0"/>
    <pivotField axis="axisRow" showAll="0">
      <items count="6">
        <item x="1"/>
        <item x="4"/>
        <item x="0"/>
        <item x="3"/>
        <item x="2"/>
        <item t="default"/>
      </items>
    </pivotField>
    <pivotField showAll="0">
      <items count="6">
        <item x="3"/>
        <item x="4"/>
        <item x="2"/>
        <item x="1"/>
        <item x="0"/>
        <item t="default"/>
      </items>
    </pivotField>
    <pivotField showAll="0"/>
    <pivotField showAll="0"/>
    <pivotField dataField="1" showAll="0"/>
    <pivotField showAll="0"/>
    <pivotField showAll="0"/>
    <pivotField dataField="1"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13"/>
  </rowFields>
  <rowItems count="6">
    <i>
      <x/>
    </i>
    <i>
      <x v="1"/>
    </i>
    <i>
      <x v="2"/>
    </i>
    <i>
      <x v="3"/>
    </i>
    <i>
      <x v="4"/>
    </i>
    <i t="grand">
      <x/>
    </i>
  </rowItems>
  <colFields count="1">
    <field x="-2"/>
  </colFields>
  <colItems count="2">
    <i>
      <x/>
    </i>
    <i i="1">
      <x v="1"/>
    </i>
  </colItems>
  <dataFields count="2">
    <dataField name="Average of Manufacturing lead time" fld="17" subtotal="average" baseField="0" baseItem="0"/>
    <dataField name="Average of Defect rates" fld="20" subtotal="average" baseField="13" baseItem="0"/>
  </dataFields>
  <chartFormats count="2">
    <chartFormat chart="4" format="5" series="1">
      <pivotArea type="data" outline="0" fieldPosition="0">
        <references count="1">
          <reference field="4294967294" count="1" selected="0">
            <x v="1"/>
          </reference>
        </references>
      </pivotArea>
    </chartFormat>
    <chartFormat chart="4"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D7C7D63-5644-41F6-BB70-64BBB6D2F188}" name="PivotTable28" cacheId="95" applyNumberFormats="0" applyBorderFormats="0" applyFontFormats="0" applyPatternFormats="0" applyAlignmentFormats="0" applyWidthHeightFormats="1" dataCaption="Values" grandTotalCaption="Avg" updatedVersion="8" minRefreshableVersion="3" useAutoFormatting="1" rowGrandTotals="0" colGrandTotals="0" itemPrintTitles="1" createdVersion="8" indent="0" outline="1" outlineData="1" multipleFieldFilters="0" chartFormat="17" rowHeaderCaption="Profit by product type">
  <location ref="G47:I50" firstHeaderRow="0" firstDataRow="1" firstDataCol="1"/>
  <pivotFields count="27">
    <pivotField axis="axisRow" showAll="0" sortType="descending">
      <items count="4">
        <item x="2"/>
        <item x="0"/>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items count="5">
        <item x="1"/>
        <item x="3"/>
        <item x="0"/>
        <item x="2"/>
        <item t="default"/>
      </items>
    </pivotField>
    <pivotField showAll="0"/>
    <pivotField showAll="0"/>
    <pivotField showAll="0"/>
    <pivotField showAll="0"/>
    <pivotField showAll="0">
      <items count="4">
        <item x="1"/>
        <item x="0"/>
        <item x="2"/>
        <item t="default"/>
      </items>
    </pivotField>
    <pivotField showAll="0"/>
    <pivotField showAll="0">
      <items count="6">
        <item x="1"/>
        <item x="4"/>
        <item x="0"/>
        <item x="3"/>
        <item x="2"/>
        <item t="default"/>
      </items>
    </pivotField>
    <pivotField showAll="0">
      <items count="6">
        <item x="3"/>
        <item x="4"/>
        <item x="2"/>
        <item x="1"/>
        <item x="0"/>
        <item t="default"/>
      </items>
    </pivotField>
    <pivotField showAll="0"/>
    <pivotField showAll="0"/>
    <pivotField showAll="0"/>
    <pivotField showAll="0"/>
    <pivotField showAll="0"/>
    <pivotField showAll="0"/>
    <pivotField showAll="0"/>
    <pivotField showAll="0"/>
    <pivotField showAll="0"/>
    <pivotField dragToRow="0" dragToCol="0" dragToPage="0" showAll="0" defaultSubtotal="0"/>
    <pivotField dataField="1" dragToRow="0" dragToCol="0" dragToPage="0" showAll="0" defaultSubtotal="0"/>
    <pivotField dataField="1" dragToRow="0" dragToCol="0" dragToPage="0" showAll="0" defaultSubtotal="0"/>
  </pivotFields>
  <rowFields count="1">
    <field x="0"/>
  </rowFields>
  <rowItems count="3">
    <i>
      <x v="2"/>
    </i>
    <i>
      <x v="1"/>
    </i>
    <i>
      <x/>
    </i>
  </rowItems>
  <colFields count="1">
    <field x="-2"/>
  </colFields>
  <colItems count="2">
    <i>
      <x/>
    </i>
    <i i="1">
      <x v="1"/>
    </i>
  </colItems>
  <dataFields count="2">
    <dataField name="Sum of Profit" fld="25" showDataAs="percentOfTotal" baseField="0" baseItem="2" numFmtId="10"/>
    <dataField name="Sum of Margin" fld="26" baseField="0" baseItem="2"/>
  </dataFields>
  <chartFormats count="8">
    <chartFormat chart="4" format="10" series="1">
      <pivotArea type="data" outline="0" fieldPosition="0">
        <references count="1">
          <reference field="4294967294" count="1" selected="0">
            <x v="0"/>
          </reference>
        </references>
      </pivotArea>
    </chartFormat>
    <chartFormat chart="4" format="11">
      <pivotArea type="data" outline="0" fieldPosition="0">
        <references count="2">
          <reference field="4294967294" count="1" selected="0">
            <x v="0"/>
          </reference>
          <reference field="0" count="1" selected="0">
            <x v="2"/>
          </reference>
        </references>
      </pivotArea>
    </chartFormat>
    <chartFormat chart="4" format="12">
      <pivotArea type="data" outline="0" fieldPosition="0">
        <references count="2">
          <reference field="4294967294" count="1" selected="0">
            <x v="0"/>
          </reference>
          <reference field="0" count="1" selected="0">
            <x v="1"/>
          </reference>
        </references>
      </pivotArea>
    </chartFormat>
    <chartFormat chart="4" format="13">
      <pivotArea type="data" outline="0" fieldPosition="0">
        <references count="2">
          <reference field="4294967294" count="1" selected="0">
            <x v="0"/>
          </reference>
          <reference field="0" count="1" selected="0">
            <x v="0"/>
          </reference>
        </references>
      </pivotArea>
    </chartFormat>
    <chartFormat chart="4" format="14" series="1">
      <pivotArea type="data" outline="0" fieldPosition="0">
        <references count="1">
          <reference field="4294967294" count="1" selected="0">
            <x v="1"/>
          </reference>
        </references>
      </pivotArea>
    </chartFormat>
    <chartFormat chart="4" format="15">
      <pivotArea type="data" outline="0" fieldPosition="0">
        <references count="2">
          <reference field="4294967294" count="1" selected="0">
            <x v="1"/>
          </reference>
          <reference field="0" count="1" selected="0">
            <x v="2"/>
          </reference>
        </references>
      </pivotArea>
    </chartFormat>
    <chartFormat chart="4" format="16">
      <pivotArea type="data" outline="0" fieldPosition="0">
        <references count="2">
          <reference field="4294967294" count="1" selected="0">
            <x v="1"/>
          </reference>
          <reference field="0" count="1" selected="0">
            <x v="1"/>
          </reference>
        </references>
      </pivotArea>
    </chartFormat>
    <chartFormat chart="4" format="17">
      <pivotArea type="data" outline="0" fieldPosition="0">
        <references count="2">
          <reference field="4294967294" count="1" selected="0">
            <x v="1"/>
          </reference>
          <reference field="0"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944D955-60A2-4546-8C0F-9233C563AA29}" name="PivotTable22" cacheId="95"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Bottom 10 SKUs by stock level">
  <location ref="G10:H22" firstHeaderRow="1" firstDataRow="1" firstDataCol="1"/>
  <pivotFields count="27">
    <pivotField showAll="0">
      <items count="4">
        <item x="2"/>
        <item x="0"/>
        <item x="1"/>
        <item t="default"/>
      </items>
    </pivotField>
    <pivotField axis="axisRow" showAll="0" measureFilter="1">
      <items count="101">
        <item x="0"/>
        <item x="1"/>
        <item x="10"/>
        <item x="11"/>
        <item x="12"/>
        <item x="13"/>
        <item x="14"/>
        <item x="15"/>
        <item x="16"/>
        <item x="17"/>
        <item x="18"/>
        <item x="19"/>
        <item x="2"/>
        <item x="20"/>
        <item x="21"/>
        <item x="22"/>
        <item x="23"/>
        <item x="24"/>
        <item x="25"/>
        <item x="26"/>
        <item x="27"/>
        <item x="28"/>
        <item x="29"/>
        <item x="3"/>
        <item x="30"/>
        <item x="31"/>
        <item x="32"/>
        <item x="33"/>
        <item x="34"/>
        <item x="35"/>
        <item x="36"/>
        <item x="37"/>
        <item x="38"/>
        <item x="39"/>
        <item x="4"/>
        <item x="40"/>
        <item x="41"/>
        <item x="42"/>
        <item x="43"/>
        <item x="44"/>
        <item x="45"/>
        <item x="46"/>
        <item x="47"/>
        <item x="48"/>
        <item x="49"/>
        <item x="5"/>
        <item x="50"/>
        <item x="51"/>
        <item x="52"/>
        <item x="53"/>
        <item x="54"/>
        <item x="55"/>
        <item x="56"/>
        <item x="57"/>
        <item x="58"/>
        <item x="59"/>
        <item x="6"/>
        <item x="60"/>
        <item x="61"/>
        <item x="62"/>
        <item x="63"/>
        <item x="64"/>
        <item x="65"/>
        <item x="66"/>
        <item x="67"/>
        <item x="68"/>
        <item x="69"/>
        <item x="7"/>
        <item x="70"/>
        <item x="71"/>
        <item x="72"/>
        <item x="73"/>
        <item x="74"/>
        <item x="75"/>
        <item x="76"/>
        <item x="77"/>
        <item x="78"/>
        <item x="79"/>
        <item x="8"/>
        <item x="80"/>
        <item x="81"/>
        <item x="82"/>
        <item x="83"/>
        <item x="84"/>
        <item x="85"/>
        <item x="86"/>
        <item x="87"/>
        <item x="88"/>
        <item x="89"/>
        <item x="9"/>
        <item x="90"/>
        <item x="91"/>
        <item x="92"/>
        <item x="93"/>
        <item x="94"/>
        <item x="95"/>
        <item x="96"/>
        <item x="97"/>
        <item x="98"/>
        <item x="99"/>
        <item t="default"/>
      </items>
    </pivotField>
    <pivotField showAll="0"/>
    <pivotField showAll="0"/>
    <pivotField showAll="0"/>
    <pivotField showAll="0"/>
    <pivotField showAll="0">
      <items count="5">
        <item x="1"/>
        <item x="3"/>
        <item x="0"/>
        <item x="2"/>
        <item t="default"/>
      </items>
    </pivotField>
    <pivotField dataField="1" showAll="0"/>
    <pivotField showAll="0"/>
    <pivotField showAll="0"/>
    <pivotField showAll="0"/>
    <pivotField showAll="0">
      <items count="4">
        <item x="1"/>
        <item x="0"/>
        <item x="2"/>
        <item t="default"/>
      </items>
    </pivotField>
    <pivotField showAll="0"/>
    <pivotField showAll="0">
      <items count="6">
        <item x="1"/>
        <item x="4"/>
        <item x="0"/>
        <item x="3"/>
        <item x="2"/>
        <item t="default"/>
      </items>
    </pivotField>
    <pivotField showAll="0">
      <items count="6">
        <item x="3"/>
        <item x="4"/>
        <item x="2"/>
        <item x="1"/>
        <item x="0"/>
        <item t="default"/>
      </items>
    </pivotField>
    <pivotField showAll="0"/>
    <pivotField showAll="0"/>
    <pivotField showAll="0"/>
    <pivotField showAll="0"/>
    <pivotField showAll="0"/>
    <pivotField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1"/>
  </rowFields>
  <rowItems count="12">
    <i>
      <x v="8"/>
    </i>
    <i>
      <x v="12"/>
    </i>
    <i>
      <x v="17"/>
    </i>
    <i>
      <x v="27"/>
    </i>
    <i>
      <x v="28"/>
    </i>
    <i>
      <x v="34"/>
    </i>
    <i>
      <x v="42"/>
    </i>
    <i>
      <x v="53"/>
    </i>
    <i>
      <x v="65"/>
    </i>
    <i>
      <x v="76"/>
    </i>
    <i>
      <x v="78"/>
    </i>
    <i>
      <x v="86"/>
    </i>
  </rowItems>
  <colItems count="1">
    <i/>
  </colItems>
  <dataFields count="1">
    <dataField name="Sum of Stock levels" fld="7" baseField="0" baseItem="0"/>
  </dataFields>
  <pivotTableStyleInfo name="PivotStyleLight16" showRowHeaders="1" showColHeaders="1" showRowStripes="0" showColStripes="0" showLastColumn="1"/>
  <filters count="1">
    <filter fld="1" type="count" evalOrder="-1" id="2" iMeasureFld="0">
      <autoFilter ref="A1">
        <filterColumn colId="0">
          <top10 top="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85FF1FE-7DA8-4EE1-9F61-171ABFC387D8}" name="PivotTable21" cacheId="95"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5" rowHeaderCaption="TOP 5 SKUs by revenue">
  <location ref="J10:K20" firstHeaderRow="1" firstDataRow="1" firstDataCol="1"/>
  <pivotFields count="27">
    <pivotField showAll="0">
      <items count="4">
        <item x="2"/>
        <item x="0"/>
        <item x="1"/>
        <item t="default"/>
      </items>
    </pivotField>
    <pivotField axis="axisRow" showAll="0" measureFilter="1" sortType="descending">
      <items count="101">
        <item x="0"/>
        <item x="1"/>
        <item x="10"/>
        <item x="11"/>
        <item x="12"/>
        <item x="13"/>
        <item x="14"/>
        <item x="15"/>
        <item x="16"/>
        <item x="17"/>
        <item x="18"/>
        <item x="19"/>
        <item x="2"/>
        <item x="20"/>
        <item x="21"/>
        <item x="22"/>
        <item x="23"/>
        <item x="24"/>
        <item x="25"/>
        <item x="26"/>
        <item x="27"/>
        <item x="28"/>
        <item x="29"/>
        <item x="3"/>
        <item x="30"/>
        <item x="31"/>
        <item x="32"/>
        <item x="33"/>
        <item x="34"/>
        <item x="35"/>
        <item x="36"/>
        <item x="37"/>
        <item x="38"/>
        <item x="39"/>
        <item x="4"/>
        <item x="40"/>
        <item x="41"/>
        <item x="42"/>
        <item x="43"/>
        <item x="44"/>
        <item x="45"/>
        <item x="46"/>
        <item x="47"/>
        <item x="48"/>
        <item x="49"/>
        <item x="5"/>
        <item x="50"/>
        <item x="51"/>
        <item x="52"/>
        <item x="53"/>
        <item x="54"/>
        <item x="55"/>
        <item x="56"/>
        <item x="57"/>
        <item x="58"/>
        <item x="59"/>
        <item x="6"/>
        <item x="60"/>
        <item x="61"/>
        <item x="62"/>
        <item x="63"/>
        <item x="64"/>
        <item x="65"/>
        <item x="66"/>
        <item x="67"/>
        <item x="68"/>
        <item x="69"/>
        <item x="7"/>
        <item x="70"/>
        <item x="71"/>
        <item x="72"/>
        <item x="73"/>
        <item x="74"/>
        <item x="75"/>
        <item x="76"/>
        <item x="77"/>
        <item x="78"/>
        <item x="79"/>
        <item x="8"/>
        <item x="80"/>
        <item x="81"/>
        <item x="82"/>
        <item x="83"/>
        <item x="84"/>
        <item x="85"/>
        <item x="86"/>
        <item x="87"/>
        <item x="88"/>
        <item x="89"/>
        <item x="9"/>
        <item x="90"/>
        <item x="91"/>
        <item x="92"/>
        <item x="93"/>
        <item x="94"/>
        <item x="95"/>
        <item x="96"/>
        <item x="97"/>
        <item x="98"/>
        <item x="99"/>
        <item t="default"/>
      </items>
      <autoSortScope>
        <pivotArea dataOnly="0" outline="0" fieldPosition="0">
          <references count="1">
            <reference field="4294967294" count="1" selected="0">
              <x v="0"/>
            </reference>
          </references>
        </pivotArea>
      </autoSortScope>
    </pivotField>
    <pivotField showAll="0"/>
    <pivotField showAll="0"/>
    <pivotField showAll="0"/>
    <pivotField dataField="1" showAll="0"/>
    <pivotField showAll="0">
      <items count="5">
        <item x="1"/>
        <item x="3"/>
        <item x="0"/>
        <item x="2"/>
        <item t="default"/>
      </items>
    </pivotField>
    <pivotField showAll="0"/>
    <pivotField showAll="0"/>
    <pivotField showAll="0"/>
    <pivotField showAll="0"/>
    <pivotField showAll="0">
      <items count="4">
        <item x="1"/>
        <item x="0"/>
        <item x="2"/>
        <item t="default"/>
      </items>
    </pivotField>
    <pivotField showAll="0"/>
    <pivotField showAll="0">
      <items count="6">
        <item x="1"/>
        <item x="4"/>
        <item x="0"/>
        <item x="3"/>
        <item x="2"/>
        <item t="default"/>
      </items>
    </pivotField>
    <pivotField showAll="0">
      <items count="6">
        <item x="3"/>
        <item x="4"/>
        <item x="2"/>
        <item x="1"/>
        <item x="0"/>
        <item t="default"/>
      </items>
    </pivotField>
    <pivotField showAll="0"/>
    <pivotField showAll="0"/>
    <pivotField showAll="0"/>
    <pivotField showAll="0"/>
    <pivotField showAll="0"/>
    <pivotField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1"/>
  </rowFields>
  <rowItems count="10">
    <i>
      <x v="47"/>
    </i>
    <i>
      <x v="32"/>
    </i>
    <i>
      <x v="25"/>
    </i>
    <i>
      <x v="90"/>
    </i>
    <i>
      <x v="12"/>
    </i>
    <i>
      <x v="26"/>
    </i>
    <i>
      <x v="64"/>
    </i>
    <i>
      <x v="87"/>
    </i>
    <i>
      <x v="48"/>
    </i>
    <i>
      <x v="10"/>
    </i>
  </rowItems>
  <colItems count="1">
    <i/>
  </colItems>
  <dataFields count="1">
    <dataField name="Sum of Revenue generated" fld="5" baseField="0" baseItem="0"/>
  </dataFields>
  <formats count="2">
    <format dxfId="2">
      <pivotArea collapsedLevelsAreSubtotals="1" fieldPosition="0">
        <references count="1">
          <reference field="1" count="1">
            <x v="47"/>
          </reference>
        </references>
      </pivotArea>
    </format>
    <format dxfId="1">
      <pivotArea dataOnly="0" labelOnly="1" fieldPosition="0">
        <references count="1">
          <reference field="1" count="1">
            <x v="47"/>
          </reference>
        </references>
      </pivotArea>
    </format>
  </format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149103-67CE-41C9-A2D6-057092BE15BB}" name="PivotTable19" cacheId="9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3:J4" firstHeaderRow="0" firstDataRow="1" firstDataCol="0"/>
  <pivotFields count="27">
    <pivotField showAll="0">
      <items count="4">
        <item x="2"/>
        <item x="0"/>
        <item x="1"/>
        <item t="default"/>
      </items>
    </pivotField>
    <pivotField showAll="0"/>
    <pivotField showAll="0"/>
    <pivotField showAll="0"/>
    <pivotField dataField="1" showAll="0"/>
    <pivotField showAll="0"/>
    <pivotField showAll="0">
      <items count="5">
        <item x="1"/>
        <item x="3"/>
        <item x="0"/>
        <item x="2"/>
        <item t="default"/>
      </items>
    </pivotField>
    <pivotField showAll="0"/>
    <pivotField showAll="0"/>
    <pivotField showAll="0"/>
    <pivotField showAll="0"/>
    <pivotField showAll="0">
      <items count="4">
        <item x="1"/>
        <item x="0"/>
        <item x="2"/>
        <item t="default"/>
      </items>
    </pivotField>
    <pivotField showAll="0"/>
    <pivotField showAll="0">
      <items count="6">
        <item x="1"/>
        <item x="4"/>
        <item x="0"/>
        <item x="3"/>
        <item x="2"/>
        <item t="default"/>
      </items>
    </pivotField>
    <pivotField showAll="0">
      <items count="6">
        <item x="3"/>
        <item x="4"/>
        <item x="2"/>
        <item x="1"/>
        <item x="0"/>
        <item t="default"/>
      </items>
    </pivotField>
    <pivotField dataField="1" showAll="0"/>
    <pivotField dataField="1" showAll="0"/>
    <pivotField showAll="0"/>
    <pivotField showAll="0"/>
    <pivotField showAll="0"/>
    <pivotField showAll="0"/>
    <pivotField showAll="0"/>
    <pivotField showAll="0"/>
    <pivotField showAll="0"/>
    <pivotField dragToRow="0" dragToCol="0" dragToPage="0" showAll="0" defaultSubtotal="0"/>
    <pivotField dataField="1" dragToRow="0" dragToCol="0" dragToPage="0" showAll="0" defaultSubtotal="0"/>
    <pivotField dragToRow="0" dragToCol="0" dragToPage="0" showAll="0" defaultSubtotal="0"/>
  </pivotFields>
  <rowItems count="1">
    <i/>
  </rowItems>
  <colFields count="1">
    <field x="-2"/>
  </colFields>
  <colItems count="4">
    <i>
      <x/>
    </i>
    <i i="1">
      <x v="1"/>
    </i>
    <i i="2">
      <x v="2"/>
    </i>
    <i i="3">
      <x v="3"/>
    </i>
  </colItems>
  <dataFields count="4">
    <dataField name="Average of Lead time" fld="15" subtotal="average" baseField="0" baseItem="1"/>
    <dataField name="Sum of Production volumes" fld="16" baseField="0" baseItem="0"/>
    <dataField name="Sum of Profit" fld="25" baseField="0" baseItem="0"/>
    <dataField name="Sum of Number of products sold"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DE1EE8E-FDB6-4EEB-B2E5-83B669515EAF}" name="PivotTable20" cacheId="95"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8">
  <location ref="A10:E16" firstHeaderRow="1" firstDataRow="2" firstDataCol="1"/>
  <pivotFields count="27">
    <pivotField axis="axisCol" showAll="0">
      <items count="4">
        <item x="2"/>
        <item x="0"/>
        <item x="1"/>
        <item t="default"/>
      </items>
    </pivotField>
    <pivotField showAll="0"/>
    <pivotField showAll="0"/>
    <pivotField showAll="0"/>
    <pivotField showAll="0"/>
    <pivotField dataField="1" showAll="0"/>
    <pivotField showAll="0">
      <items count="5">
        <item x="1"/>
        <item x="3"/>
        <item x="0"/>
        <item x="2"/>
        <item t="default"/>
      </items>
    </pivotField>
    <pivotField showAll="0"/>
    <pivotField showAll="0"/>
    <pivotField showAll="0"/>
    <pivotField showAll="0"/>
    <pivotField showAll="0">
      <items count="4">
        <item x="1"/>
        <item x="0"/>
        <item x="2"/>
        <item t="default"/>
      </items>
    </pivotField>
    <pivotField showAll="0"/>
    <pivotField showAll="0">
      <items count="6">
        <item x="1"/>
        <item x="4"/>
        <item x="0"/>
        <item x="3"/>
        <item x="2"/>
        <item t="default"/>
      </items>
    </pivotField>
    <pivotField axis="axisRow" showAll="0" sortType="descending">
      <items count="6">
        <item x="3"/>
        <item x="4"/>
        <item x="2"/>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14"/>
  </rowFields>
  <rowItems count="5">
    <i>
      <x v="4"/>
    </i>
    <i>
      <x v="3"/>
    </i>
    <i>
      <x v="1"/>
    </i>
    <i>
      <x/>
    </i>
    <i>
      <x v="2"/>
    </i>
  </rowItems>
  <colFields count="1">
    <field x="0"/>
  </colFields>
  <colItems count="4">
    <i>
      <x/>
    </i>
    <i>
      <x v="1"/>
    </i>
    <i>
      <x v="2"/>
    </i>
    <i t="grand">
      <x/>
    </i>
  </colItems>
  <dataFields count="1">
    <dataField name="Revenue by location and product" fld="5" baseField="0" baseItem="0"/>
  </dataFields>
  <chartFormats count="3">
    <chartFormat chart="4" format="6" series="1">
      <pivotArea type="data" outline="0" fieldPosition="0">
        <references count="2">
          <reference field="4294967294" count="1" selected="0">
            <x v="0"/>
          </reference>
          <reference field="0" count="1" selected="0">
            <x v="0"/>
          </reference>
        </references>
      </pivotArea>
    </chartFormat>
    <chartFormat chart="4" format="7" series="1">
      <pivotArea type="data" outline="0" fieldPosition="0">
        <references count="2">
          <reference field="4294967294" count="1" selected="0">
            <x v="0"/>
          </reference>
          <reference field="0" count="1" selected="0">
            <x v="1"/>
          </reference>
        </references>
      </pivotArea>
    </chartFormat>
    <chartFormat chart="4" format="8" series="1">
      <pivotArea type="data" outline="0" fieldPosition="0">
        <references count="2">
          <reference field="4294967294" count="1" selected="0">
            <x v="0"/>
          </reference>
          <reference field="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9D1BCF0-8077-44CC-A72E-0ECE22A00A26}" name="PivotTable27" cacheId="95" applyNumberFormats="0" applyBorderFormats="0" applyFontFormats="0" applyPatternFormats="0" applyAlignmentFormats="0" applyWidthHeightFormats="1" dataCaption="Values" grandTotalCaption="Avg" updatedVersion="8" minRefreshableVersion="3" useAutoFormatting="1" colGrandTotals="0" itemPrintTitles="1" createdVersion="8" indent="0" outline="1" outlineData="1" multipleFieldFilters="0" rowHeaderCaption="">
  <location ref="A34:D50" firstHeaderRow="0" firstDataRow="1" firstDataCol="1"/>
  <pivotFields count="27">
    <pivotField showAll="0" defaultSubtotal="0">
      <items count="3">
        <item x="2"/>
        <item x="0"/>
        <item x="1"/>
      </items>
    </pivotField>
    <pivotField showAll="0" defaultSubtotal="0"/>
    <pivotField showAll="0" defaultSubtotal="0"/>
    <pivotField showAll="0" defaultSubtotal="0"/>
    <pivotField showAll="0" defaultSubtotal="0"/>
    <pivotField showAll="0" defaultSubtotal="0"/>
    <pivotField showAll="0" defaultSubtotal="0">
      <items count="4">
        <item x="1"/>
        <item x="3"/>
        <item x="0"/>
        <item x="2"/>
      </items>
    </pivotField>
    <pivotField showAll="0" defaultSubtotal="0"/>
    <pivotField showAll="0" defaultSubtotal="0"/>
    <pivotField showAll="0" defaultSubtotal="0"/>
    <pivotField showAll="0" defaultSubtotal="0"/>
    <pivotField axis="axisRow" showAll="0" defaultSubtotal="0">
      <items count="3">
        <item x="1"/>
        <item x="0"/>
        <item x="2"/>
      </items>
    </pivotField>
    <pivotField dataField="1" showAll="0" defaultSubtotal="0"/>
    <pivotField showAll="0" defaultSubtotal="0">
      <items count="5">
        <item x="1"/>
        <item x="4"/>
        <item x="0"/>
        <item x="3"/>
        <item x="2"/>
      </items>
    </pivotField>
    <pivotField showAll="0" defaultSubtotal="0">
      <items count="5">
        <item x="3"/>
        <item x="4"/>
        <item x="2"/>
        <item x="1"/>
        <item x="0"/>
      </items>
    </pivotField>
    <pivotField dataField="1" showAll="0" defaultSubtotal="0"/>
    <pivotField showAll="0" defaultSubtotal="0"/>
    <pivotField showAll="0" defaultSubtotal="0"/>
    <pivotField showAll="0" defaultSubtotal="0"/>
    <pivotField showAll="0" defaultSubtotal="0"/>
    <pivotField showAll="0" defaultSubtotal="0"/>
    <pivotField axis="axisRow" showAll="0" defaultSubtotal="0">
      <items count="4">
        <item x="1"/>
        <item x="2"/>
        <item x="0"/>
        <item x="3"/>
      </items>
    </pivotField>
    <pivotField showAll="0" defaultSubtotal="0">
      <items count="3">
        <item x="2"/>
        <item x="0"/>
        <item x="1"/>
      </items>
    </pivotField>
    <pivotField showAll="0" defaultSubtotal="0"/>
    <pivotField dataField="1" subtotalTop="0" dragToRow="0" dragToCol="0" dragToPage="0" showAll="0" defaultSubtotal="0"/>
    <pivotField subtotalTop="0" dragToRow="0" dragToCol="0" dragToPage="0" showAll="0" defaultSubtotal="0"/>
    <pivotField subtotalTop="0" dragToRow="0" dragToCol="0" dragToPage="0" showAll="0" defaultSubtotal="0"/>
  </pivotFields>
  <rowFields count="2">
    <field x="11"/>
    <field x="21"/>
  </rowFields>
  <rowItems count="16">
    <i>
      <x/>
    </i>
    <i r="1">
      <x/>
    </i>
    <i r="1">
      <x v="1"/>
    </i>
    <i r="1">
      <x v="2"/>
    </i>
    <i r="1">
      <x v="3"/>
    </i>
    <i>
      <x v="1"/>
    </i>
    <i r="1">
      <x/>
    </i>
    <i r="1">
      <x v="1"/>
    </i>
    <i r="1">
      <x v="2"/>
    </i>
    <i r="1">
      <x v="3"/>
    </i>
    <i>
      <x v="2"/>
    </i>
    <i r="1">
      <x/>
    </i>
    <i r="1">
      <x v="1"/>
    </i>
    <i r="1">
      <x v="2"/>
    </i>
    <i r="1">
      <x v="3"/>
    </i>
    <i t="grand">
      <x/>
    </i>
  </rowItems>
  <colFields count="1">
    <field x="-2"/>
  </colFields>
  <colItems count="3">
    <i>
      <x/>
    </i>
    <i i="1">
      <x v="1"/>
    </i>
    <i i="2">
      <x v="2"/>
    </i>
  </colItems>
  <dataFields count="3">
    <dataField name="Average of Shipping costs" fld="12" subtotal="average" baseField="21" baseItem="2"/>
    <dataField name="Average of Lead time" fld="15" subtotal="average" baseField="21" baseItem="0"/>
    <dataField name="Average of Shipping costs vs. lead time" fld="24" subtotal="average" baseField="11" baseItem="0"/>
  </dataFields>
  <conditionalFormats count="1">
    <conditionalFormat type="all" priority="1">
      <pivotAreas count="5">
        <pivotArea type="data" collapsedLevelsAreSubtotals="1" fieldPosition="0">
          <references count="3">
            <reference field="4294967294" count="1" selected="0">
              <x v="2"/>
            </reference>
            <reference field="11" count="1" selected="0">
              <x v="0"/>
            </reference>
            <reference field="21" count="4">
              <x v="0"/>
              <x v="1"/>
              <x v="2"/>
              <x v="3"/>
            </reference>
          </references>
        </pivotArea>
        <pivotArea type="data" collapsedLevelsAreSubtotals="1" fieldPosition="0">
          <references count="2">
            <reference field="4294967294" count="1" selected="0">
              <x v="2"/>
            </reference>
            <reference field="11" count="1">
              <x v="1"/>
            </reference>
          </references>
        </pivotArea>
        <pivotArea type="data" collapsedLevelsAreSubtotals="1" fieldPosition="0">
          <references count="3">
            <reference field="4294967294" count="1" selected="0">
              <x v="2"/>
            </reference>
            <reference field="11" count="1" selected="0">
              <x v="1"/>
            </reference>
            <reference field="21" count="4">
              <x v="0"/>
              <x v="1"/>
              <x v="2"/>
              <x v="3"/>
            </reference>
          </references>
        </pivotArea>
        <pivotArea type="data" collapsedLevelsAreSubtotals="1" fieldPosition="0">
          <references count="2">
            <reference field="4294967294" count="1" selected="0">
              <x v="2"/>
            </reference>
            <reference field="11" count="1">
              <x v="2"/>
            </reference>
          </references>
        </pivotArea>
        <pivotArea type="data" collapsedLevelsAreSubtotals="1" fieldPosition="0">
          <references count="3">
            <reference field="4294967294" count="1" selected="0">
              <x v="2"/>
            </reference>
            <reference field="11" count="1" selected="0">
              <x v="2"/>
            </reference>
            <reference field="21" count="4">
              <x v="0"/>
              <x v="1"/>
              <x v="2"/>
              <x v="3"/>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C5BC18-C349-4E4C-8796-D292CB538167}" name="PivotTable18" cacheId="9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D7" firstHeaderRow="0" firstDataRow="1" firstDataCol="1"/>
  <pivotFields count="27">
    <pivotField axis="axisRow" showAll="0" sortType="descending">
      <items count="4">
        <item x="2"/>
        <item x="0"/>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dataField="1" showAll="0"/>
    <pivotField dataField="1" showAll="0"/>
    <pivotField showAll="0">
      <items count="5">
        <item x="1"/>
        <item x="3"/>
        <item x="0"/>
        <item x="2"/>
        <item t="default"/>
      </items>
    </pivotField>
    <pivotField showAll="0"/>
    <pivotField showAll="0"/>
    <pivotField showAll="0"/>
    <pivotField showAll="0"/>
    <pivotField showAll="0">
      <items count="4">
        <item x="1"/>
        <item x="0"/>
        <item x="2"/>
        <item t="default"/>
      </items>
    </pivotField>
    <pivotField showAll="0"/>
    <pivotField showAll="0">
      <items count="6">
        <item x="1"/>
        <item x="4"/>
        <item x="0"/>
        <item x="3"/>
        <item x="2"/>
        <item t="default"/>
      </items>
    </pivotField>
    <pivotField showAll="0">
      <items count="6">
        <item x="3"/>
        <item x="4"/>
        <item x="2"/>
        <item x="1"/>
        <item x="0"/>
        <item t="default"/>
      </items>
    </pivotField>
    <pivotField showAll="0"/>
    <pivotField showAll="0"/>
    <pivotField showAll="0"/>
    <pivotField showAll="0"/>
    <pivotField showAll="0"/>
    <pivotField dataField="1"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0"/>
  </rowFields>
  <rowItems count="4">
    <i>
      <x v="2"/>
    </i>
    <i>
      <x v="1"/>
    </i>
    <i>
      <x/>
    </i>
    <i t="grand">
      <x/>
    </i>
  </rowItems>
  <colFields count="1">
    <field x="-2"/>
  </colFields>
  <colItems count="3">
    <i>
      <x/>
    </i>
    <i i="1">
      <x v="1"/>
    </i>
    <i i="2">
      <x v="2"/>
    </i>
  </colItems>
  <dataFields count="3">
    <dataField name="Sum of Revenue generated" fld="5" baseField="0" baseItem="0"/>
    <dataField name="Sum of Number of products sold" fld="4" baseField="0" baseItem="0"/>
    <dataField name="Average of Defect rates" fld="20"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CCAD428-DB3B-45B7-9CCB-4012F07DFE62}" name="PivotTable26" cacheId="95"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9">
  <location ref="G25:J31" firstHeaderRow="1" firstDataRow="2" firstDataCol="1"/>
  <pivotFields count="27">
    <pivotField axis="axisCol" showAll="0">
      <items count="4">
        <item x="2"/>
        <item x="0"/>
        <item x="1"/>
        <item t="default"/>
      </items>
    </pivotField>
    <pivotField showAll="0"/>
    <pivotField showAll="0"/>
    <pivotField showAll="0"/>
    <pivotField showAll="0"/>
    <pivotField showAll="0"/>
    <pivotField showAll="0">
      <items count="5">
        <item x="1"/>
        <item x="3"/>
        <item x="0"/>
        <item x="2"/>
        <item t="default"/>
      </items>
    </pivotField>
    <pivotField showAll="0"/>
    <pivotField showAll="0"/>
    <pivotField showAll="0"/>
    <pivotField showAll="0"/>
    <pivotField showAll="0">
      <items count="4">
        <item x="1"/>
        <item x="0"/>
        <item x="2"/>
        <item t="default"/>
      </items>
    </pivotField>
    <pivotField showAll="0"/>
    <pivotField axis="axisRow" showAll="0">
      <items count="6">
        <item x="1"/>
        <item x="4"/>
        <item x="0"/>
        <item x="3"/>
        <item x="2"/>
        <item t="default"/>
      </items>
    </pivotField>
    <pivotField showAll="0">
      <items count="6">
        <item x="3"/>
        <item x="4"/>
        <item x="2"/>
        <item x="1"/>
        <item x="0"/>
        <item t="default"/>
      </items>
    </pivotField>
    <pivotField showAll="0"/>
    <pivotField showAll="0"/>
    <pivotField showAll="0"/>
    <pivotField dataField="1" showAll="0"/>
    <pivotField showAll="0"/>
    <pivotField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13"/>
  </rowFields>
  <rowItems count="5">
    <i>
      <x/>
    </i>
    <i>
      <x v="1"/>
    </i>
    <i>
      <x v="2"/>
    </i>
    <i>
      <x v="3"/>
    </i>
    <i>
      <x v="4"/>
    </i>
  </rowItems>
  <colFields count="1">
    <field x="0"/>
  </colFields>
  <colItems count="3">
    <i>
      <x/>
    </i>
    <i>
      <x v="1"/>
    </i>
    <i>
      <x v="2"/>
    </i>
  </colItems>
  <dataFields count="1">
    <dataField name="Average of Manufacturing costs per unit" fld="18" subtotal="average" baseField="13" baseItem="0"/>
  </dataFields>
  <chartFormats count="4">
    <chartFormat chart="4" format="6" series="1">
      <pivotArea type="data" outline="0" fieldPosition="0">
        <references count="2">
          <reference field="4294967294" count="1" selected="0">
            <x v="0"/>
          </reference>
          <reference field="0" count="1" selected="0">
            <x v="0"/>
          </reference>
        </references>
      </pivotArea>
    </chartFormat>
    <chartFormat chart="4" format="7" series="1">
      <pivotArea type="data" outline="0" fieldPosition="0">
        <references count="2">
          <reference field="4294967294" count="1" selected="0">
            <x v="0"/>
          </reference>
          <reference field="0" count="1" selected="0">
            <x v="1"/>
          </reference>
        </references>
      </pivotArea>
    </chartFormat>
    <chartFormat chart="4" format="8" series="1">
      <pivotArea type="data" outline="0" fieldPosition="0">
        <references count="2">
          <reference field="4294967294" count="1" selected="0">
            <x v="0"/>
          </reference>
          <reference field="0" count="1" selected="0">
            <x v="2"/>
          </reference>
        </references>
      </pivotArea>
    </chartFormat>
    <chartFormat chart="4"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605567D-C716-493F-9360-5FF990BEF3EA}" name="PivotTable31" cacheId="9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Revenue by demographics">
  <location ref="A18:B23" firstHeaderRow="1" firstDataRow="1" firstDataCol="1"/>
  <pivotFields count="27">
    <pivotField showAll="0">
      <items count="4">
        <item x="2"/>
        <item x="0"/>
        <item x="1"/>
        <item t="default"/>
      </items>
    </pivotField>
    <pivotField showAll="0"/>
    <pivotField showAll="0"/>
    <pivotField showAll="0"/>
    <pivotField showAll="0"/>
    <pivotField dataField="1" showAll="0"/>
    <pivotField axis="axisRow" showAll="0" sortType="descending">
      <items count="5">
        <item x="1"/>
        <item x="3"/>
        <item x="0"/>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items count="4">
        <item x="1"/>
        <item x="0"/>
        <item x="2"/>
        <item t="default"/>
      </items>
    </pivotField>
    <pivotField showAll="0"/>
    <pivotField showAll="0">
      <items count="6">
        <item x="1"/>
        <item x="4"/>
        <item x="0"/>
        <item x="3"/>
        <item x="2"/>
        <item t="default"/>
      </items>
    </pivotField>
    <pivotField showAll="0">
      <items count="6">
        <item x="3"/>
        <item x="4"/>
        <item x="2"/>
        <item x="1"/>
        <item x="0"/>
        <item t="default"/>
      </items>
    </pivotField>
    <pivotField showAll="0"/>
    <pivotField showAll="0"/>
    <pivotField showAll="0"/>
    <pivotField showAll="0"/>
    <pivotField showAll="0"/>
    <pivotField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6"/>
  </rowFields>
  <rowItems count="5">
    <i>
      <x v="3"/>
    </i>
    <i>
      <x/>
    </i>
    <i>
      <x v="1"/>
    </i>
    <i>
      <x v="2"/>
    </i>
    <i t="grand">
      <x/>
    </i>
  </rowItems>
  <colItems count="1">
    <i/>
  </colItems>
  <dataFields count="1">
    <dataField name="Sum of Revenue generated" fld="5" showDataAs="percentOfTotal" baseField="0" baseItem="0" numFmtId="10"/>
  </dataFields>
  <chartFormats count="5">
    <chartFormat chart="4" format="6" series="1">
      <pivotArea type="data" outline="0" fieldPosition="0">
        <references count="1">
          <reference field="4294967294" count="1" selected="0">
            <x v="0"/>
          </reference>
        </references>
      </pivotArea>
    </chartFormat>
    <chartFormat chart="4" format="7">
      <pivotArea type="data" outline="0" fieldPosition="0">
        <references count="2">
          <reference field="4294967294" count="1" selected="0">
            <x v="0"/>
          </reference>
          <reference field="6" count="1" selected="0">
            <x v="0"/>
          </reference>
        </references>
      </pivotArea>
    </chartFormat>
    <chartFormat chart="4" format="8">
      <pivotArea type="data" outline="0" fieldPosition="0">
        <references count="2">
          <reference field="4294967294" count="1" selected="0">
            <x v="0"/>
          </reference>
          <reference field="6" count="1" selected="0">
            <x v="1"/>
          </reference>
        </references>
      </pivotArea>
    </chartFormat>
    <chartFormat chart="4" format="9">
      <pivotArea type="data" outline="0" fieldPosition="0">
        <references count="2">
          <reference field="4294967294" count="1" selected="0">
            <x v="0"/>
          </reference>
          <reference field="6" count="1" selected="0">
            <x v="2"/>
          </reference>
        </references>
      </pivotArea>
    </chartFormat>
    <chartFormat chart="4" format="10">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type" xr10:uid="{14C8ED1E-AF29-4837-B5E6-0F1FE52962F1}" sourceName="Product type">
  <pivotTables>
    <pivotTable tabId="7" name="PivotTable28"/>
    <pivotTable tabId="9" name="PivotTable36"/>
    <pivotTable tabId="9" name="PivotTable38"/>
    <pivotTable tabId="9" name="PivotTable39"/>
    <pivotTable tabId="9" name="PivotTable40"/>
    <pivotTable tabId="7" name="PivotTable18"/>
    <pivotTable tabId="7" name="PivotTable19"/>
    <pivotTable tabId="7" name="PivotTable20"/>
    <pivotTable tabId="7" name="PivotTable21"/>
    <pivotTable tabId="7" name="PivotTable22"/>
    <pivotTable tabId="7" name="PivotTable23"/>
    <pivotTable tabId="7" name="PivotTable26"/>
    <pivotTable tabId="7" name="PivotTable27"/>
    <pivotTable tabId="7" name="PivotTable29"/>
    <pivotTable tabId="7" name="PivotTable31"/>
  </pivotTables>
  <data>
    <tabular pivotCacheId="981094130">
      <items count="3">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demographics" xr10:uid="{0FA94DFA-077A-4B83-B2AA-74EA47DC8B56}" sourceName="Customer demographics">
  <pivotTables>
    <pivotTable tabId="7" name="PivotTable28"/>
    <pivotTable tabId="9" name="PivotTable36"/>
    <pivotTable tabId="9" name="PivotTable38"/>
    <pivotTable tabId="9" name="PivotTable39"/>
    <pivotTable tabId="9" name="PivotTable40"/>
    <pivotTable tabId="7" name="PivotTable18"/>
    <pivotTable tabId="7" name="PivotTable19"/>
    <pivotTable tabId="7" name="PivotTable20"/>
    <pivotTable tabId="7" name="PivotTable21"/>
    <pivotTable tabId="7" name="PivotTable22"/>
    <pivotTable tabId="7" name="PivotTable23"/>
    <pivotTable tabId="7" name="PivotTable26"/>
    <pivotTable tabId="7" name="PivotTable27"/>
    <pivotTable tabId="7" name="PivotTable29"/>
    <pivotTable tabId="7" name="PivotTable31"/>
  </pivotTables>
  <data>
    <tabular pivotCacheId="981094130">
      <items count="4">
        <i x="1" s="1"/>
        <i x="3" s="1"/>
        <i x="0"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ping_carriers" xr10:uid="{7ADF4608-8675-432A-876A-177DA609AA28}" sourceName="Shipping carriers">
  <pivotTables>
    <pivotTable tabId="7" name="PivotTable28"/>
    <pivotTable tabId="9" name="PivotTable36"/>
    <pivotTable tabId="9" name="PivotTable38"/>
    <pivotTable tabId="9" name="PivotTable39"/>
    <pivotTable tabId="9" name="PivotTable40"/>
    <pivotTable tabId="7" name="PivotTable18"/>
    <pivotTable tabId="7" name="PivotTable19"/>
    <pivotTable tabId="7" name="PivotTable20"/>
    <pivotTable tabId="7" name="PivotTable21"/>
    <pivotTable tabId="7" name="PivotTable22"/>
    <pivotTable tabId="7" name="PivotTable23"/>
    <pivotTable tabId="7" name="PivotTable26"/>
    <pivotTable tabId="7" name="PivotTable27"/>
    <pivotTable tabId="7" name="PivotTable29"/>
    <pivotTable tabId="7" name="PivotTable31"/>
  </pivotTables>
  <data>
    <tabular pivotCacheId="981094130">
      <items count="3">
        <i x="1" s="1"/>
        <i x="0"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pplier_name" xr10:uid="{173C2841-F471-4835-BD71-654B22A6EE19}" sourceName="Supplier name">
  <pivotTables>
    <pivotTable tabId="7" name="PivotTable28"/>
    <pivotTable tabId="9" name="PivotTable36"/>
    <pivotTable tabId="9" name="PivotTable38"/>
    <pivotTable tabId="9" name="PivotTable39"/>
    <pivotTable tabId="9" name="PivotTable40"/>
    <pivotTable tabId="7" name="PivotTable18"/>
    <pivotTable tabId="7" name="PivotTable19"/>
    <pivotTable tabId="7" name="PivotTable20"/>
    <pivotTable tabId="7" name="PivotTable21"/>
    <pivotTable tabId="7" name="PivotTable22"/>
    <pivotTable tabId="7" name="PivotTable23"/>
    <pivotTable tabId="7" name="PivotTable26"/>
    <pivotTable tabId="7" name="PivotTable27"/>
    <pivotTable tabId="7" name="PivotTable29"/>
    <pivotTable tabId="7" name="PivotTable31"/>
  </pivotTables>
  <data>
    <tabular pivotCacheId="981094130">
      <items count="5">
        <i x="1" s="1"/>
        <i x="4" s="1"/>
        <i x="0" s="1"/>
        <i x="3" s="1"/>
        <i x="2"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 xr10:uid="{EAA72590-34A7-4F96-BFC1-D5CB0C2BA899}" sourceName="Location">
  <pivotTables>
    <pivotTable tabId="7" name="PivotTable28"/>
    <pivotTable tabId="9" name="PivotTable36"/>
    <pivotTable tabId="9" name="PivotTable38"/>
    <pivotTable tabId="9" name="PivotTable39"/>
    <pivotTable tabId="9" name="PivotTable40"/>
    <pivotTable tabId="7" name="PivotTable18"/>
    <pivotTable tabId="7" name="PivotTable19"/>
    <pivotTable tabId="7" name="PivotTable20"/>
    <pivotTable tabId="7" name="PivotTable21"/>
    <pivotTable tabId="7" name="PivotTable22"/>
    <pivotTable tabId="7" name="PivotTable23"/>
    <pivotTable tabId="7" name="PivotTable26"/>
    <pivotTable tabId="7" name="PivotTable27"/>
    <pivotTable tabId="7" name="PivotTable29"/>
    <pivotTable tabId="7" name="PivotTable31"/>
  </pivotTables>
  <data>
    <tabular pivotCacheId="981094130">
      <items count="5">
        <i x="3" s="1"/>
        <i x="4" s="1"/>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type" xr10:uid="{33222067-C4D0-4C6F-8C9E-233DDDDD9F7B}" cache="Slicer_Product_type" caption="Product type" columnCount="3" rowHeight="365760"/>
  <slicer name="Customer demographics" xr10:uid="{1CC2D35D-A3A9-4AF6-948E-1A3610A36824}" cache="Slicer_Customer_demographics" caption="Customer demographics" columnCount="2" rowHeight="234950"/>
  <slicer name="Shipping carriers" xr10:uid="{92369C0D-4F22-4927-9E2F-A052780614FF}" cache="Slicer_Shipping_carriers" caption="Shipping carriers" columnCount="3" rowHeight="365760"/>
  <slicer name="Supplier name" xr10:uid="{50797698-5021-47D4-BD71-38E30B2CEA12}" cache="Slicer_Supplier_name" caption="Supplier name" columnCount="3" rowHeight="234950"/>
  <slicer name="Location" xr10:uid="{74610EB0-0263-4A83-9820-802E8FEADBEF}" cache="Slicer_Location" caption="Location" columnCount="3"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4ED713-088F-475E-A4B8-BA0480A5FB45}" name="Table1" displayName="Table1" ref="A1:X101" totalsRowShown="0">
  <autoFilter ref="A1:X101" xr:uid="{954ED713-088F-475E-A4B8-BA0480A5FB45}"/>
  <tableColumns count="24">
    <tableColumn id="1" xr3:uid="{F9DFA6FA-8898-43EB-BB24-41323F6E71CD}" name="Product type"/>
    <tableColumn id="2" xr3:uid="{DEB49495-4BDD-4CA7-BA48-38684F983664}" name="SKU"/>
    <tableColumn id="3" xr3:uid="{2790C7E8-3F8E-4CF4-BAC1-FF35F699ED94}" name="Price"/>
    <tableColumn id="4" xr3:uid="{8E53C1F2-FA78-4F68-A293-82D46ACDD373}" name="Availability"/>
    <tableColumn id="5" xr3:uid="{848A16F2-129A-40DD-904F-D7DBB7CE1372}" name="Number of products sold"/>
    <tableColumn id="6" xr3:uid="{105577CE-1EE1-4EFD-AC2E-9D285A6BC0EA}" name="Revenue generated"/>
    <tableColumn id="7" xr3:uid="{E0D07E83-E1CE-4A2E-B082-4D06564BF284}" name="Customer demographics"/>
    <tableColumn id="8" xr3:uid="{3356393A-CD70-45A7-B0C7-B8FC20315748}" name="Stock levels"/>
    <tableColumn id="9" xr3:uid="{FD248057-D447-49A3-97D3-9775EDD6D587}" name="Lead times"/>
    <tableColumn id="10" xr3:uid="{9CDE8EFB-475A-4AF2-A74F-8DD01612B615}" name="Order quantities"/>
    <tableColumn id="11" xr3:uid="{6B3FEC69-CA6A-417F-97F9-53A3449A2537}" name="Shipping times"/>
    <tableColumn id="12" xr3:uid="{127D9E04-9B03-4AAD-B789-F4B90774325F}" name="Shipping carriers"/>
    <tableColumn id="13" xr3:uid="{116183BC-CCFA-407F-84F4-A03D31DA90A2}" name="Shipping costs"/>
    <tableColumn id="14" xr3:uid="{12B50198-0056-452B-A909-48DFB21B157B}" name="Supplier name"/>
    <tableColumn id="15" xr3:uid="{74898FC2-5A04-4961-904A-0BCE7950D56E}" name="Location"/>
    <tableColumn id="16" xr3:uid="{4BA004C8-F9A9-46DA-8D77-A5C18F26A96B}" name="Lead time"/>
    <tableColumn id="17" xr3:uid="{F7CBED0D-89DE-4ADA-91E4-6C7E1C074290}" name="Production volumes"/>
    <tableColumn id="18" xr3:uid="{AFFD60BE-7112-42B9-9F6B-CA89B57B75A4}" name="Manufacturing lead time"/>
    <tableColumn id="19" xr3:uid="{878D908F-5C2F-4F86-AF4A-42BD903A53D3}" name="Manufacturing costs per unit"/>
    <tableColumn id="20" xr3:uid="{3D7D5349-C2DC-4D1E-94D9-BB856AE892A3}" name="Inspection results"/>
    <tableColumn id="21" xr3:uid="{31262DBA-7CF7-4CE7-82E1-9367AB1A7B91}" name="Defect rates"/>
    <tableColumn id="22" xr3:uid="{22BCE34C-729A-4483-AFA4-7585515B9956}" name="Transportation modes"/>
    <tableColumn id="23" xr3:uid="{0962EB2B-5CCB-4821-A059-9A1C814394A3}" name="Routes"/>
    <tableColumn id="24" xr3:uid="{A1544239-5771-4B91-8652-066CD50AC1AC}" name="Cost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12.xml"/><Relationship Id="rId3" Type="http://schemas.openxmlformats.org/officeDocument/2006/relationships/pivotTable" Target="../pivotTables/pivotTable7.xml"/><Relationship Id="rId7" Type="http://schemas.openxmlformats.org/officeDocument/2006/relationships/pivotTable" Target="../pivotTables/pivotTable11.xml"/><Relationship Id="rId2" Type="http://schemas.openxmlformats.org/officeDocument/2006/relationships/pivotTable" Target="../pivotTables/pivotTable6.xml"/><Relationship Id="rId1" Type="http://schemas.openxmlformats.org/officeDocument/2006/relationships/pivotTable" Target="../pivotTables/pivotTable5.xml"/><Relationship Id="rId6" Type="http://schemas.openxmlformats.org/officeDocument/2006/relationships/pivotTable" Target="../pivotTables/pivotTable10.xml"/><Relationship Id="rId11" Type="http://schemas.openxmlformats.org/officeDocument/2006/relationships/pivotTable" Target="../pivotTables/pivotTable15.xml"/><Relationship Id="rId5" Type="http://schemas.openxmlformats.org/officeDocument/2006/relationships/pivotTable" Target="../pivotTables/pivotTable9.xml"/><Relationship Id="rId10" Type="http://schemas.openxmlformats.org/officeDocument/2006/relationships/pivotTable" Target="../pivotTables/pivotTable1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FC03C8-7920-40E4-9346-694C64315B3B}">
  <dimension ref="B1:S68"/>
  <sheetViews>
    <sheetView showGridLines="0" zoomScale="40" zoomScaleNormal="38" workbookViewId="0">
      <selection activeCell="Z41" sqref="Z41"/>
    </sheetView>
  </sheetViews>
  <sheetFormatPr defaultRowHeight="13.8" x14ac:dyDescent="0.25"/>
  <cols>
    <col min="1" max="2" width="3.33203125" style="9" customWidth="1"/>
    <col min="3" max="3" width="15.109375" style="9" customWidth="1"/>
    <col min="4" max="4" width="16.33203125" style="9" customWidth="1"/>
    <col min="5" max="5" width="13.33203125" style="9" bestFit="1" customWidth="1"/>
    <col min="6" max="6" width="33.109375" style="9" bestFit="1" customWidth="1"/>
    <col min="7" max="7" width="26.6640625" style="9" bestFit="1" customWidth="1"/>
    <col min="8" max="8" width="49.21875" style="9" bestFit="1" customWidth="1"/>
    <col min="9" max="9" width="5.6640625" style="9" customWidth="1"/>
    <col min="10" max="10" width="31.88671875" style="9" bestFit="1" customWidth="1"/>
    <col min="11" max="11" width="21.5546875" style="9" bestFit="1" customWidth="1"/>
    <col min="12" max="12" width="23.21875" style="9" bestFit="1" customWidth="1"/>
    <col min="13" max="13" width="14.6640625" style="9" customWidth="1"/>
    <col min="14" max="14" width="34.21875" style="9" bestFit="1" customWidth="1"/>
    <col min="15" max="15" width="33.6640625" style="9" bestFit="1" customWidth="1"/>
    <col min="16" max="16" width="12.6640625" style="9" customWidth="1"/>
    <col min="17" max="17" width="41" style="9" bestFit="1" customWidth="1"/>
    <col min="18" max="18" width="25.109375" style="9" bestFit="1" customWidth="1"/>
    <col min="19" max="19" width="4.21875" style="9" customWidth="1"/>
    <col min="20" max="16384" width="8.88671875" style="9"/>
  </cols>
  <sheetData>
    <row r="1" spans="2:19" ht="13.8" customHeight="1" x14ac:dyDescent="0.25">
      <c r="B1" s="29" t="s">
        <v>185</v>
      </c>
      <c r="C1" s="29"/>
      <c r="D1" s="29"/>
      <c r="E1" s="29"/>
      <c r="F1" s="29"/>
      <c r="G1" s="29"/>
      <c r="H1" s="29"/>
      <c r="I1" s="29"/>
      <c r="J1" s="29"/>
      <c r="K1" s="29"/>
      <c r="L1" s="29"/>
      <c r="M1" s="29"/>
      <c r="N1" s="29"/>
      <c r="O1" s="29"/>
      <c r="P1" s="29"/>
      <c r="Q1" s="29"/>
      <c r="R1" s="29"/>
      <c r="S1" s="29"/>
    </row>
    <row r="2" spans="2:19" ht="13.8" customHeight="1" x14ac:dyDescent="0.25">
      <c r="B2" s="29"/>
      <c r="C2" s="29"/>
      <c r="D2" s="29"/>
      <c r="E2" s="29"/>
      <c r="F2" s="29"/>
      <c r="G2" s="29"/>
      <c r="H2" s="29"/>
      <c r="I2" s="29"/>
      <c r="J2" s="29"/>
      <c r="K2" s="29"/>
      <c r="L2" s="29"/>
      <c r="M2" s="29"/>
      <c r="N2" s="29"/>
      <c r="O2" s="29"/>
      <c r="P2" s="29"/>
      <c r="Q2" s="29"/>
      <c r="R2" s="29"/>
      <c r="S2" s="29"/>
    </row>
    <row r="3" spans="2:19" ht="13.8" customHeight="1" x14ac:dyDescent="0.25">
      <c r="B3" s="29"/>
      <c r="C3" s="29"/>
      <c r="D3" s="29"/>
      <c r="E3" s="29"/>
      <c r="F3" s="29"/>
      <c r="G3" s="29"/>
      <c r="H3" s="29"/>
      <c r="I3" s="29"/>
      <c r="J3" s="29"/>
      <c r="K3" s="29"/>
      <c r="L3" s="29"/>
      <c r="M3" s="29"/>
      <c r="N3" s="29"/>
      <c r="O3" s="29"/>
      <c r="P3" s="29"/>
      <c r="Q3" s="29"/>
      <c r="R3" s="29"/>
      <c r="S3" s="29"/>
    </row>
    <row r="4" spans="2:19" ht="13.8" customHeight="1" x14ac:dyDescent="0.25">
      <c r="B4" s="29"/>
      <c r="C4" s="29"/>
      <c r="D4" s="29"/>
      <c r="E4" s="29"/>
      <c r="F4" s="29"/>
      <c r="G4" s="29"/>
      <c r="H4" s="29"/>
      <c r="I4" s="29"/>
      <c r="J4" s="29"/>
      <c r="K4" s="29"/>
      <c r="L4" s="29"/>
      <c r="M4" s="29"/>
      <c r="N4" s="29"/>
      <c r="O4" s="29"/>
      <c r="P4" s="29"/>
      <c r="Q4" s="29"/>
      <c r="R4" s="29"/>
      <c r="S4" s="29"/>
    </row>
    <row r="5" spans="2:19" ht="13.8" customHeight="1" x14ac:dyDescent="0.25">
      <c r="B5" s="29"/>
      <c r="C5" s="29"/>
      <c r="D5" s="29"/>
      <c r="E5" s="29"/>
      <c r="F5" s="29"/>
      <c r="G5" s="29"/>
      <c r="H5" s="29"/>
      <c r="I5" s="29"/>
      <c r="J5" s="29"/>
      <c r="K5" s="29"/>
      <c r="L5" s="29"/>
      <c r="M5" s="29"/>
      <c r="N5" s="29"/>
      <c r="O5" s="29"/>
      <c r="P5" s="29"/>
      <c r="Q5" s="29"/>
      <c r="R5" s="29"/>
      <c r="S5" s="29"/>
    </row>
    <row r="6" spans="2:19" ht="13.8" customHeight="1" x14ac:dyDescent="0.25">
      <c r="B6" s="29"/>
      <c r="C6" s="29"/>
      <c r="D6" s="29"/>
      <c r="E6" s="29"/>
      <c r="F6" s="29"/>
      <c r="G6" s="29"/>
      <c r="H6" s="29"/>
      <c r="I6" s="29"/>
      <c r="J6" s="29"/>
      <c r="K6" s="29"/>
      <c r="L6" s="29"/>
      <c r="M6" s="29"/>
      <c r="N6" s="29"/>
      <c r="O6" s="29"/>
      <c r="P6" s="29"/>
      <c r="Q6" s="29"/>
      <c r="R6" s="29"/>
      <c r="S6" s="29"/>
    </row>
    <row r="8" spans="2:19" x14ac:dyDescent="0.25">
      <c r="B8" s="21"/>
      <c r="C8" s="20"/>
      <c r="D8" s="20"/>
      <c r="E8" s="20"/>
      <c r="F8" s="20"/>
      <c r="G8" s="20"/>
      <c r="H8" s="20"/>
      <c r="I8" s="20"/>
      <c r="J8" s="20"/>
      <c r="K8" s="20"/>
      <c r="L8" s="20"/>
      <c r="M8" s="20"/>
      <c r="N8" s="20"/>
      <c r="O8" s="20"/>
      <c r="P8" s="20"/>
      <c r="Q8" s="20"/>
      <c r="R8" s="20"/>
      <c r="S8" s="22"/>
    </row>
    <row r="9" spans="2:19" x14ac:dyDescent="0.25">
      <c r="B9" s="23"/>
      <c r="S9" s="24"/>
    </row>
    <row r="10" spans="2:19" x14ac:dyDescent="0.25">
      <c r="B10" s="23"/>
      <c r="S10" s="24"/>
    </row>
    <row r="11" spans="2:19" x14ac:dyDescent="0.25">
      <c r="B11" s="23"/>
      <c r="S11" s="24"/>
    </row>
    <row r="12" spans="2:19" x14ac:dyDescent="0.25">
      <c r="B12" s="23"/>
      <c r="S12" s="24"/>
    </row>
    <row r="13" spans="2:19" x14ac:dyDescent="0.25">
      <c r="B13" s="23"/>
      <c r="S13" s="24"/>
    </row>
    <row r="14" spans="2:19" x14ac:dyDescent="0.25">
      <c r="B14" s="23"/>
      <c r="S14" s="24"/>
    </row>
    <row r="15" spans="2:19" x14ac:dyDescent="0.25">
      <c r="B15" s="23"/>
      <c r="S15" s="24"/>
    </row>
    <row r="16" spans="2:19" x14ac:dyDescent="0.25">
      <c r="B16" s="23"/>
      <c r="S16" s="24"/>
    </row>
    <row r="17" spans="2:19" x14ac:dyDescent="0.25">
      <c r="B17" s="23"/>
      <c r="C17" s="28" t="s">
        <v>163</v>
      </c>
      <c r="D17" s="28"/>
      <c r="S17" s="24"/>
    </row>
    <row r="18" spans="2:19" x14ac:dyDescent="0.25">
      <c r="B18" s="23"/>
      <c r="C18" s="28"/>
      <c r="D18" s="28"/>
      <c r="S18" s="24"/>
    </row>
    <row r="19" spans="2:19" x14ac:dyDescent="0.25">
      <c r="B19" s="23"/>
      <c r="C19" s="28">
        <f>GETPIVOTDATA("Sum of Revenue generated",'Pivot Table'!$A$3)</f>
        <v>577604.81873800803</v>
      </c>
      <c r="D19" s="28"/>
      <c r="S19" s="24"/>
    </row>
    <row r="20" spans="2:19" x14ac:dyDescent="0.25">
      <c r="B20" s="23"/>
      <c r="C20" s="28"/>
      <c r="D20" s="28"/>
      <c r="S20" s="24"/>
    </row>
    <row r="21" spans="2:19" x14ac:dyDescent="0.25">
      <c r="B21" s="23"/>
      <c r="C21" s="28"/>
      <c r="D21" s="28"/>
      <c r="S21" s="24"/>
    </row>
    <row r="22" spans="2:19" ht="17.399999999999999" x14ac:dyDescent="0.25">
      <c r="B22" s="23"/>
      <c r="C22" s="11"/>
      <c r="D22" s="11"/>
      <c r="S22" s="24"/>
    </row>
    <row r="23" spans="2:19" ht="17.399999999999999" x14ac:dyDescent="0.25">
      <c r="B23" s="23"/>
      <c r="C23" s="11"/>
      <c r="D23" s="11"/>
      <c r="S23" s="24"/>
    </row>
    <row r="24" spans="2:19" x14ac:dyDescent="0.25">
      <c r="B24" s="23"/>
      <c r="C24" s="28" t="s">
        <v>179</v>
      </c>
      <c r="D24" s="28"/>
      <c r="S24" s="24"/>
    </row>
    <row r="25" spans="2:19" x14ac:dyDescent="0.25">
      <c r="B25" s="23"/>
      <c r="C25" s="28"/>
      <c r="D25" s="28"/>
      <c r="S25" s="24"/>
    </row>
    <row r="26" spans="2:19" x14ac:dyDescent="0.25">
      <c r="B26" s="23"/>
      <c r="C26" s="28">
        <f>GETPIVOTDATA("Sum of Profit",'Pivot Table'!$G$3)</f>
        <v>524680.24052219384</v>
      </c>
      <c r="D26" s="28"/>
      <c r="S26" s="24"/>
    </row>
    <row r="27" spans="2:19" x14ac:dyDescent="0.25">
      <c r="B27" s="23"/>
      <c r="C27" s="28"/>
      <c r="D27" s="28"/>
      <c r="S27" s="24"/>
    </row>
    <row r="28" spans="2:19" x14ac:dyDescent="0.25">
      <c r="B28" s="23"/>
      <c r="C28" s="28"/>
      <c r="D28" s="28"/>
      <c r="S28" s="24"/>
    </row>
    <row r="29" spans="2:19" ht="17.399999999999999" x14ac:dyDescent="0.25">
      <c r="B29" s="23"/>
      <c r="C29" s="11"/>
      <c r="D29" s="11"/>
      <c r="S29" s="24"/>
    </row>
    <row r="30" spans="2:19" ht="17.399999999999999" x14ac:dyDescent="0.25">
      <c r="B30" s="23"/>
      <c r="C30" s="11"/>
      <c r="D30" s="11"/>
      <c r="S30" s="24"/>
    </row>
    <row r="31" spans="2:19" x14ac:dyDescent="0.25">
      <c r="B31" s="23"/>
      <c r="C31" s="28" t="s">
        <v>183</v>
      </c>
      <c r="D31" s="28"/>
      <c r="S31" s="24"/>
    </row>
    <row r="32" spans="2:19" x14ac:dyDescent="0.25">
      <c r="B32" s="23"/>
      <c r="C32" s="28"/>
      <c r="D32" s="28"/>
      <c r="S32" s="24"/>
    </row>
    <row r="33" spans="2:19" x14ac:dyDescent="0.25">
      <c r="B33" s="23"/>
      <c r="C33" s="28">
        <f>GETPIVOTDATA("Sum of Number of products sold",'Pivot Table'!$G$3)</f>
        <v>46099</v>
      </c>
      <c r="D33" s="28"/>
      <c r="S33" s="24"/>
    </row>
    <row r="34" spans="2:19" x14ac:dyDescent="0.25">
      <c r="B34" s="23"/>
      <c r="C34" s="28"/>
      <c r="D34" s="28"/>
      <c r="S34" s="24"/>
    </row>
    <row r="35" spans="2:19" x14ac:dyDescent="0.25">
      <c r="B35" s="23"/>
      <c r="C35" s="28"/>
      <c r="D35" s="28"/>
      <c r="S35" s="24"/>
    </row>
    <row r="36" spans="2:19" ht="17.399999999999999" x14ac:dyDescent="0.25">
      <c r="B36" s="23"/>
      <c r="C36" s="11"/>
      <c r="D36" s="11"/>
      <c r="S36" s="24"/>
    </row>
    <row r="37" spans="2:19" ht="17.399999999999999" x14ac:dyDescent="0.25">
      <c r="B37" s="23"/>
      <c r="C37" s="11"/>
      <c r="D37" s="11"/>
      <c r="S37" s="24"/>
    </row>
    <row r="38" spans="2:19" x14ac:dyDescent="0.25">
      <c r="B38" s="23"/>
      <c r="C38" s="28" t="s">
        <v>180</v>
      </c>
      <c r="D38" s="28"/>
      <c r="S38" s="24"/>
    </row>
    <row r="39" spans="2:19" x14ac:dyDescent="0.25">
      <c r="B39" s="23"/>
      <c r="C39" s="28"/>
      <c r="D39" s="28"/>
      <c r="S39" s="24"/>
    </row>
    <row r="40" spans="2:19" x14ac:dyDescent="0.25">
      <c r="B40" s="23"/>
      <c r="C40" s="28" t="str">
        <f>'Pivot Table'!A4</f>
        <v>skincare</v>
      </c>
      <c r="D40" s="28"/>
      <c r="S40" s="24"/>
    </row>
    <row r="41" spans="2:19" x14ac:dyDescent="0.25">
      <c r="B41" s="23"/>
      <c r="C41" s="28"/>
      <c r="D41" s="28"/>
      <c r="S41" s="24"/>
    </row>
    <row r="42" spans="2:19" x14ac:dyDescent="0.25">
      <c r="B42" s="23"/>
      <c r="C42" s="28"/>
      <c r="D42" s="28"/>
      <c r="S42" s="24"/>
    </row>
    <row r="43" spans="2:19" ht="17.399999999999999" x14ac:dyDescent="0.25">
      <c r="B43" s="23"/>
      <c r="C43" s="11"/>
      <c r="D43" s="11"/>
      <c r="S43" s="24"/>
    </row>
    <row r="44" spans="2:19" ht="17.399999999999999" x14ac:dyDescent="0.25">
      <c r="B44" s="23"/>
      <c r="C44" s="11"/>
      <c r="D44" s="11"/>
      <c r="S44" s="24"/>
    </row>
    <row r="45" spans="2:19" x14ac:dyDescent="0.25">
      <c r="B45" s="23"/>
      <c r="C45" s="28" t="s">
        <v>184</v>
      </c>
      <c r="D45" s="28"/>
      <c r="S45" s="24"/>
    </row>
    <row r="46" spans="2:19" x14ac:dyDescent="0.25">
      <c r="B46" s="23"/>
      <c r="C46" s="28"/>
      <c r="D46" s="28"/>
      <c r="S46" s="24"/>
    </row>
    <row r="47" spans="2:19" x14ac:dyDescent="0.25">
      <c r="B47" s="23"/>
      <c r="C47" s="28" t="str">
        <f>'Pivot Table'!A12</f>
        <v>Mumbai</v>
      </c>
      <c r="D47" s="28"/>
      <c r="S47" s="24"/>
    </row>
    <row r="48" spans="2:19" x14ac:dyDescent="0.25">
      <c r="B48" s="23"/>
      <c r="C48" s="28"/>
      <c r="D48" s="28"/>
      <c r="S48" s="24"/>
    </row>
    <row r="49" spans="2:19" x14ac:dyDescent="0.25">
      <c r="B49" s="23"/>
      <c r="C49" s="28"/>
      <c r="D49" s="28"/>
      <c r="S49" s="24"/>
    </row>
    <row r="50" spans="2:19" x14ac:dyDescent="0.25">
      <c r="B50" s="23"/>
      <c r="S50" s="24"/>
    </row>
    <row r="51" spans="2:19" x14ac:dyDescent="0.25">
      <c r="B51" s="23"/>
      <c r="E51" s="12" t="s">
        <v>181</v>
      </c>
      <c r="F51" s="9" t="s">
        <v>162</v>
      </c>
      <c r="G51" s="9" t="s">
        <v>159</v>
      </c>
      <c r="H51" s="9" t="s">
        <v>171</v>
      </c>
      <c r="J51" s="12" t="s">
        <v>164</v>
      </c>
      <c r="K51" s="9" t="s">
        <v>176</v>
      </c>
      <c r="L51" s="9" t="s">
        <v>175</v>
      </c>
      <c r="N51" s="12" t="s">
        <v>172</v>
      </c>
      <c r="O51" s="9" t="s">
        <v>157</v>
      </c>
      <c r="Q51" s="12" t="s">
        <v>166</v>
      </c>
      <c r="R51" s="9" t="s">
        <v>160</v>
      </c>
      <c r="S51" s="24"/>
    </row>
    <row r="52" spans="2:19" x14ac:dyDescent="0.25">
      <c r="B52" s="23"/>
      <c r="E52" s="13" t="s">
        <v>35</v>
      </c>
      <c r="J52" s="13" t="s">
        <v>36</v>
      </c>
      <c r="K52" s="14">
        <v>9435.8293440972102</v>
      </c>
      <c r="L52" s="14">
        <v>66.486827860785866</v>
      </c>
      <c r="N52" s="15" t="s">
        <v>104</v>
      </c>
      <c r="O52" s="16">
        <v>9866.4654579796897</v>
      </c>
      <c r="Q52" s="17" t="s">
        <v>121</v>
      </c>
      <c r="R52" s="19">
        <v>0</v>
      </c>
      <c r="S52" s="24"/>
    </row>
    <row r="53" spans="2:19" x14ac:dyDescent="0.25">
      <c r="B53" s="23"/>
      <c r="E53" s="18" t="s">
        <v>39</v>
      </c>
      <c r="F53" s="9">
        <v>6.2473890189734362</v>
      </c>
      <c r="G53" s="9">
        <v>23.2</v>
      </c>
      <c r="H53" s="9">
        <v>0.33588113005233527</v>
      </c>
      <c r="J53" s="13" t="s">
        <v>91</v>
      </c>
      <c r="K53" s="9">
        <v>9352.6451702698232</v>
      </c>
      <c r="L53" s="9">
        <v>27.534271935479921</v>
      </c>
      <c r="N53" s="13" t="s">
        <v>91</v>
      </c>
      <c r="O53" s="9">
        <v>9692.3180402184298</v>
      </c>
      <c r="Q53" s="17" t="s">
        <v>36</v>
      </c>
      <c r="R53" s="19">
        <v>1</v>
      </c>
      <c r="S53" s="24"/>
    </row>
    <row r="54" spans="2:19" x14ac:dyDescent="0.25">
      <c r="B54" s="23"/>
      <c r="E54" s="18" t="s">
        <v>46</v>
      </c>
      <c r="F54" s="9">
        <v>6.3998314106652421</v>
      </c>
      <c r="G54" s="9">
        <v>18.428571428571427</v>
      </c>
      <c r="H54" s="9">
        <v>0.48694369428974665</v>
      </c>
      <c r="J54" s="13" t="s">
        <v>141</v>
      </c>
      <c r="K54" s="9">
        <v>9340.8257851022754</v>
      </c>
      <c r="L54" s="9">
        <v>89.88802009705465</v>
      </c>
      <c r="N54" s="13" t="s">
        <v>84</v>
      </c>
      <c r="O54" s="9">
        <v>9655.1351027193905</v>
      </c>
      <c r="Q54" s="17" t="s">
        <v>87</v>
      </c>
      <c r="R54" s="19">
        <v>1</v>
      </c>
      <c r="S54" s="24"/>
    </row>
    <row r="55" spans="2:19" x14ac:dyDescent="0.25">
      <c r="B55" s="23"/>
      <c r="E55" s="18" t="s">
        <v>30</v>
      </c>
      <c r="F55" s="9">
        <v>5.4654595408748508</v>
      </c>
      <c r="G55" s="9">
        <v>13.727272727272727</v>
      </c>
      <c r="H55" s="9">
        <v>0.35157926871124773</v>
      </c>
      <c r="J55" s="13" t="s">
        <v>120</v>
      </c>
      <c r="K55" s="9">
        <v>9304.5262311235438</v>
      </c>
      <c r="L55" s="9">
        <v>54.967963683287337</v>
      </c>
      <c r="N55" s="13" t="s">
        <v>143</v>
      </c>
      <c r="O55" s="9">
        <v>9592.6335702803099</v>
      </c>
      <c r="Q55" s="17" t="s">
        <v>69</v>
      </c>
      <c r="R55" s="19">
        <v>2</v>
      </c>
      <c r="S55" s="24"/>
    </row>
    <row r="56" spans="2:19" x14ac:dyDescent="0.25">
      <c r="B56" s="23"/>
      <c r="E56" s="18" t="s">
        <v>55</v>
      </c>
      <c r="F56" s="9">
        <v>3.876402137417652</v>
      </c>
      <c r="G56" s="9">
        <v>23.4</v>
      </c>
      <c r="H56" s="9">
        <v>0.30765096328711528</v>
      </c>
      <c r="J56" s="13" t="s">
        <v>104</v>
      </c>
      <c r="K56" s="9">
        <v>9171.4831404002452</v>
      </c>
      <c r="L56" s="9">
        <v>13.196714374465842</v>
      </c>
      <c r="N56" s="13" t="s">
        <v>36</v>
      </c>
      <c r="O56" s="9">
        <v>9577.7496258687297</v>
      </c>
      <c r="Q56" s="13" t="s">
        <v>86</v>
      </c>
      <c r="R56" s="9">
        <v>4</v>
      </c>
      <c r="S56" s="24"/>
    </row>
    <row r="57" spans="2:19" x14ac:dyDescent="0.25">
      <c r="B57" s="23"/>
      <c r="E57" s="13" t="s">
        <v>26</v>
      </c>
      <c r="J57" s="13" t="s">
        <v>84</v>
      </c>
      <c r="K57" s="9">
        <v>9045.7558961009636</v>
      </c>
      <c r="L57" s="9">
        <v>14.844214895840924</v>
      </c>
      <c r="N57" s="13" t="s">
        <v>85</v>
      </c>
      <c r="O57" s="9">
        <v>9571.5504873278096</v>
      </c>
      <c r="Q57" s="13" t="s">
        <v>77</v>
      </c>
      <c r="R57" s="9">
        <v>4</v>
      </c>
      <c r="S57" s="24"/>
    </row>
    <row r="58" spans="2:19" x14ac:dyDescent="0.25">
      <c r="B58" s="23"/>
      <c r="E58" s="18" t="s">
        <v>39</v>
      </c>
      <c r="F58" s="9">
        <v>6.2164081895515659</v>
      </c>
      <c r="G58" s="9">
        <v>11.642857142857142</v>
      </c>
      <c r="H58" s="9">
        <v>0.38004242206865468</v>
      </c>
      <c r="J58" s="13" t="s">
        <v>152</v>
      </c>
      <c r="K58" s="9">
        <v>8974.4428202174549</v>
      </c>
      <c r="L58" s="9">
        <v>42.584771207001374</v>
      </c>
      <c r="N58" s="13" t="s">
        <v>120</v>
      </c>
      <c r="O58" s="9">
        <v>9473.7980325083299</v>
      </c>
      <c r="Q58" s="13" t="s">
        <v>100</v>
      </c>
      <c r="R58" s="9">
        <v>4</v>
      </c>
      <c r="S58" s="24"/>
    </row>
    <row r="59" spans="2:19" x14ac:dyDescent="0.25">
      <c r="B59" s="23"/>
      <c r="E59" s="18" t="s">
        <v>46</v>
      </c>
      <c r="F59" s="9">
        <v>5.2310360279906813</v>
      </c>
      <c r="G59" s="9">
        <v>16.600000000000001</v>
      </c>
      <c r="H59" s="9">
        <v>0.38844326940524859</v>
      </c>
      <c r="J59" s="13" t="s">
        <v>105</v>
      </c>
      <c r="K59" s="9">
        <v>8832.8641100737459</v>
      </c>
      <c r="L59" s="9">
        <v>14.650665289583914</v>
      </c>
      <c r="N59" s="13" t="s">
        <v>141</v>
      </c>
      <c r="O59" s="9">
        <v>9444.7420330629793</v>
      </c>
      <c r="Q59" s="13" t="s">
        <v>48</v>
      </c>
      <c r="R59" s="9">
        <v>5</v>
      </c>
      <c r="S59" s="24"/>
    </row>
    <row r="60" spans="2:19" x14ac:dyDescent="0.25">
      <c r="B60" s="23"/>
      <c r="E60" s="18" t="s">
        <v>30</v>
      </c>
      <c r="F60" s="9">
        <v>4.9763646684044751</v>
      </c>
      <c r="G60" s="9">
        <v>20.818181818181817</v>
      </c>
      <c r="H60" s="9">
        <v>0.24657662771373526</v>
      </c>
      <c r="J60" s="13" t="s">
        <v>85</v>
      </c>
      <c r="K60" s="9">
        <v>8810.3765778129327</v>
      </c>
      <c r="L60" s="9">
        <v>11.574722238480424</v>
      </c>
      <c r="N60" s="13" t="s">
        <v>105</v>
      </c>
      <c r="O60" s="9">
        <v>9435.7626089121295</v>
      </c>
      <c r="Q60" s="13" t="s">
        <v>131</v>
      </c>
      <c r="R60" s="9">
        <v>5</v>
      </c>
      <c r="S60" s="24"/>
    </row>
    <row r="61" spans="2:19" x14ac:dyDescent="0.25">
      <c r="B61" s="23"/>
      <c r="E61" s="18" t="s">
        <v>55</v>
      </c>
      <c r="F61" s="9">
        <v>5.5541177459679467</v>
      </c>
      <c r="G61" s="9">
        <v>19</v>
      </c>
      <c r="H61" s="9">
        <v>0.53749526573883355</v>
      </c>
      <c r="J61" s="13" t="s">
        <v>71</v>
      </c>
      <c r="K61" s="9">
        <v>8771.1932463555204</v>
      </c>
      <c r="L61" s="9">
        <v>14.779250223526118</v>
      </c>
      <c r="N61" s="13" t="s">
        <v>71</v>
      </c>
      <c r="O61" s="9">
        <v>9364.6735050761708</v>
      </c>
      <c r="Q61" s="13" t="s">
        <v>58</v>
      </c>
      <c r="R61" s="9">
        <v>5</v>
      </c>
      <c r="S61" s="24"/>
    </row>
    <row r="62" spans="2:19" x14ac:dyDescent="0.25">
      <c r="B62" s="23"/>
      <c r="E62" s="13" t="s">
        <v>42</v>
      </c>
      <c r="Q62" s="13" t="s">
        <v>110</v>
      </c>
      <c r="R62" s="9">
        <v>5</v>
      </c>
      <c r="S62" s="24"/>
    </row>
    <row r="63" spans="2:19" x14ac:dyDescent="0.25">
      <c r="B63" s="23"/>
      <c r="E63" s="18" t="s">
        <v>39</v>
      </c>
      <c r="F63" s="9">
        <v>5.4567377246221245</v>
      </c>
      <c r="G63" s="9">
        <v>19.428571428571427</v>
      </c>
      <c r="H63" s="9">
        <v>0.24965466713957432</v>
      </c>
      <c r="Q63" s="13" t="s">
        <v>140</v>
      </c>
      <c r="R63" s="9">
        <v>5</v>
      </c>
      <c r="S63" s="24"/>
    </row>
    <row r="64" spans="2:19" x14ac:dyDescent="0.25">
      <c r="B64" s="23"/>
      <c r="E64" s="18" t="s">
        <v>46</v>
      </c>
      <c r="F64" s="9">
        <v>4.9783969860605088</v>
      </c>
      <c r="G64" s="9">
        <v>18.833333333333332</v>
      </c>
      <c r="H64" s="9">
        <v>0.24284863346636626</v>
      </c>
      <c r="S64" s="24"/>
    </row>
    <row r="65" spans="2:19" x14ac:dyDescent="0.25">
      <c r="B65" s="23"/>
      <c r="E65" s="18" t="s">
        <v>30</v>
      </c>
      <c r="F65" s="9">
        <v>6.5516114298936277</v>
      </c>
      <c r="G65" s="9">
        <v>20.428571428571427</v>
      </c>
      <c r="H65" s="9">
        <v>0.44097384624284036</v>
      </c>
      <c r="S65" s="24"/>
    </row>
    <row r="66" spans="2:19" x14ac:dyDescent="0.25">
      <c r="B66" s="23"/>
      <c r="E66" s="18" t="s">
        <v>55</v>
      </c>
      <c r="F66" s="9">
        <v>5.3834034370904664</v>
      </c>
      <c r="G66" s="9">
        <v>11.666666666666666</v>
      </c>
      <c r="H66" s="9">
        <v>0.42876664543198406</v>
      </c>
      <c r="S66" s="24"/>
    </row>
    <row r="67" spans="2:19" x14ac:dyDescent="0.25">
      <c r="B67" s="23"/>
      <c r="E67" s="13" t="s">
        <v>169</v>
      </c>
      <c r="F67" s="9">
        <v>5.5481490720195836</v>
      </c>
      <c r="G67" s="9">
        <v>17.079999999999998</v>
      </c>
      <c r="H67" s="9">
        <v>0.34762838797115186</v>
      </c>
      <c r="S67" s="24"/>
    </row>
    <row r="68" spans="2:19" x14ac:dyDescent="0.25">
      <c r="B68" s="25"/>
      <c r="C68" s="26"/>
      <c r="D68" s="26"/>
      <c r="E68" s="26"/>
      <c r="F68" s="26"/>
      <c r="G68" s="26"/>
      <c r="H68" s="26"/>
      <c r="I68" s="26"/>
      <c r="J68" s="26"/>
      <c r="K68" s="26"/>
      <c r="L68" s="26"/>
      <c r="M68" s="26"/>
      <c r="N68" s="26"/>
      <c r="O68" s="26"/>
      <c r="P68" s="26"/>
      <c r="Q68" s="26"/>
      <c r="R68" s="26"/>
      <c r="S68" s="27"/>
    </row>
  </sheetData>
  <mergeCells count="11">
    <mergeCell ref="C45:D46"/>
    <mergeCell ref="C47:D49"/>
    <mergeCell ref="B1:S6"/>
    <mergeCell ref="C24:D25"/>
    <mergeCell ref="C26:D28"/>
    <mergeCell ref="C31:D32"/>
    <mergeCell ref="C33:D35"/>
    <mergeCell ref="C38:D39"/>
    <mergeCell ref="C40:D42"/>
    <mergeCell ref="C17:D18"/>
    <mergeCell ref="C19:D21"/>
  </mergeCells>
  <conditionalFormatting pivot="1" sqref="H53:H56 H57 H58:H61 H62 H63:H66">
    <cfRule type="top10" dxfId="59" priority="1" bottom="1" rank="5"/>
  </conditionalFormatting>
  <pageMargins left="0.7" right="0.7" top="0.75" bottom="0.75" header="0.3" footer="0.3"/>
  <drawing r:id="rId5"/>
  <extLst>
    <ext xmlns:x14="http://schemas.microsoft.com/office/spreadsheetml/2009/9/main" uri="{A8765BA9-456A-4dab-B4F3-ACF838C121DE}">
      <x14:slicerList>
        <x14:slicer r:id="rId6"/>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3F7C1B-BAC7-4E34-B1A6-678DE53A7E87}">
  <dimension ref="A3:L50"/>
  <sheetViews>
    <sheetView tabSelected="1" topLeftCell="A34" zoomScale="78" workbookViewId="0">
      <selection activeCell="D19" sqref="D19"/>
    </sheetView>
  </sheetViews>
  <sheetFormatPr defaultRowHeight="14.4" x14ac:dyDescent="0.3"/>
  <cols>
    <col min="1" max="1" width="25.77734375" bestFit="1" customWidth="1"/>
    <col min="2" max="2" width="24.109375" bestFit="1" customWidth="1"/>
    <col min="3" max="3" width="19" bestFit="1" customWidth="1"/>
    <col min="4" max="4" width="34.21875" bestFit="1" customWidth="1"/>
    <col min="5" max="5" width="12.5546875" bestFit="1" customWidth="1"/>
    <col min="6" max="6" width="13.33203125" customWidth="1"/>
    <col min="7" max="7" width="21.6640625" bestFit="1" customWidth="1"/>
    <col min="8" max="8" width="15.33203125" bestFit="1" customWidth="1"/>
    <col min="9" max="9" width="16.6640625" bestFit="1" customWidth="1"/>
    <col min="10" max="10" width="12.5546875" bestFit="1" customWidth="1"/>
    <col min="11" max="11" width="24.109375" bestFit="1" customWidth="1"/>
    <col min="12" max="15" width="12" bestFit="1" customWidth="1"/>
  </cols>
  <sheetData>
    <row r="3" spans="1:12" x14ac:dyDescent="0.3">
      <c r="A3" s="1" t="s">
        <v>153</v>
      </c>
      <c r="B3" t="s">
        <v>157</v>
      </c>
      <c r="C3" t="s">
        <v>156</v>
      </c>
      <c r="D3" t="s">
        <v>158</v>
      </c>
      <c r="G3" t="s">
        <v>159</v>
      </c>
      <c r="H3" t="s">
        <v>167</v>
      </c>
      <c r="I3" t="s">
        <v>161</v>
      </c>
      <c r="J3" t="s">
        <v>156</v>
      </c>
    </row>
    <row r="4" spans="1:12" x14ac:dyDescent="0.3">
      <c r="A4" s="2" t="s">
        <v>32</v>
      </c>
      <c r="B4">
        <v>241628.16213306302</v>
      </c>
      <c r="C4">
        <v>20731</v>
      </c>
      <c r="D4">
        <v>2.3346807819802327</v>
      </c>
      <c r="G4">
        <v>17.079999999999998</v>
      </c>
      <c r="H4">
        <v>56784</v>
      </c>
      <c r="I4">
        <v>524680.24052219384</v>
      </c>
      <c r="J4">
        <v>46099</v>
      </c>
    </row>
    <row r="5" spans="1:12" x14ac:dyDescent="0.3">
      <c r="A5" s="2" t="s">
        <v>23</v>
      </c>
      <c r="B5">
        <v>174455.39060546222</v>
      </c>
      <c r="C5">
        <v>13611</v>
      </c>
      <c r="D5">
        <v>2.4831501929246214</v>
      </c>
    </row>
    <row r="6" spans="1:12" x14ac:dyDescent="0.3">
      <c r="A6" s="2" t="s">
        <v>56</v>
      </c>
      <c r="B6">
        <v>161521.26599948306</v>
      </c>
      <c r="C6">
        <v>11757</v>
      </c>
      <c r="D6">
        <v>1.9192869782813149</v>
      </c>
    </row>
    <row r="7" spans="1:12" x14ac:dyDescent="0.3">
      <c r="A7" s="2" t="s">
        <v>154</v>
      </c>
      <c r="B7">
        <v>577604.81873800803</v>
      </c>
      <c r="C7">
        <v>46099</v>
      </c>
      <c r="D7">
        <v>2.277157992739606</v>
      </c>
    </row>
    <row r="10" spans="1:12" x14ac:dyDescent="0.3">
      <c r="A10" s="1" t="s">
        <v>165</v>
      </c>
      <c r="B10" s="1" t="s">
        <v>155</v>
      </c>
      <c r="G10" s="1" t="s">
        <v>166</v>
      </c>
      <c r="H10" t="s">
        <v>160</v>
      </c>
      <c r="J10" s="1" t="s">
        <v>172</v>
      </c>
      <c r="K10" t="s">
        <v>157</v>
      </c>
      <c r="L10" s="4" t="s">
        <v>0</v>
      </c>
    </row>
    <row r="11" spans="1:12" x14ac:dyDescent="0.3">
      <c r="A11" s="1" t="s">
        <v>153</v>
      </c>
      <c r="B11" t="s">
        <v>56</v>
      </c>
      <c r="C11" t="s">
        <v>23</v>
      </c>
      <c r="D11" t="s">
        <v>32</v>
      </c>
      <c r="E11" t="s">
        <v>154</v>
      </c>
      <c r="G11" s="2" t="s">
        <v>69</v>
      </c>
      <c r="H11">
        <v>2</v>
      </c>
      <c r="J11" s="7" t="s">
        <v>104</v>
      </c>
      <c r="K11" s="8">
        <v>9866.4654579796897</v>
      </c>
      <c r="L11" s="8" t="str">
        <f>INDEX(Table1[],MATCH($J11,Table1[SKU],0),MATCH('Pivot Table'!$L$10,Table1[#Headers],0))</f>
        <v>haircare</v>
      </c>
    </row>
    <row r="12" spans="1:12" x14ac:dyDescent="0.3">
      <c r="A12" s="2" t="s">
        <v>28</v>
      </c>
      <c r="B12">
        <v>49156.506476559756</v>
      </c>
      <c r="C12">
        <v>44423.981963938248</v>
      </c>
      <c r="D12">
        <v>44174.538436971292</v>
      </c>
      <c r="E12">
        <v>137755.0268774693</v>
      </c>
      <c r="G12" s="2" t="s">
        <v>36</v>
      </c>
      <c r="H12">
        <v>1</v>
      </c>
      <c r="J12" s="2" t="s">
        <v>91</v>
      </c>
      <c r="K12">
        <v>9692.3180402184298</v>
      </c>
      <c r="L12" t="str">
        <f>INDEX(Table1[],MATCH($J12,Table1[SKU],0),MATCH('Pivot Table'!$L$10,Table1[#Headers],0))</f>
        <v>cosmetics</v>
      </c>
    </row>
    <row r="13" spans="1:12" x14ac:dyDescent="0.3">
      <c r="A13" s="2" t="s">
        <v>44</v>
      </c>
      <c r="B13">
        <v>24163.57185549516</v>
      </c>
      <c r="C13">
        <v>35027.713247250402</v>
      </c>
      <c r="D13">
        <v>77886.265902635438</v>
      </c>
      <c r="E13">
        <v>137077.55100538098</v>
      </c>
      <c r="G13" s="2" t="s">
        <v>77</v>
      </c>
      <c r="H13">
        <v>4</v>
      </c>
      <c r="J13" s="2" t="s">
        <v>84</v>
      </c>
      <c r="K13">
        <v>9655.1351027193905</v>
      </c>
      <c r="L13" t="str">
        <f>INDEX(Table1[],MATCH($J13,Table1[SKU],0),MATCH('Pivot Table'!$L$10,Table1[#Headers],0))</f>
        <v>skincare</v>
      </c>
    </row>
    <row r="14" spans="1:12" x14ac:dyDescent="0.3">
      <c r="A14" s="2" t="s">
        <v>61</v>
      </c>
      <c r="B14">
        <v>31461.947457005252</v>
      </c>
      <c r="C14">
        <v>28723.448931953109</v>
      </c>
      <c r="D14">
        <v>58957.419359110936</v>
      </c>
      <c r="E14">
        <v>119142.81574806929</v>
      </c>
      <c r="G14" s="2" t="s">
        <v>86</v>
      </c>
      <c r="H14">
        <v>4</v>
      </c>
      <c r="J14" s="2" t="s">
        <v>143</v>
      </c>
      <c r="K14">
        <v>9592.6335702803099</v>
      </c>
      <c r="L14" t="str">
        <f>INDEX(Table1[],MATCH($J14,Table1[SKU],0),MATCH('Pivot Table'!$L$10,Table1[#Headers],0))</f>
        <v>skincare</v>
      </c>
    </row>
    <row r="15" spans="1:12" x14ac:dyDescent="0.3">
      <c r="A15" s="2" t="s">
        <v>52</v>
      </c>
      <c r="B15">
        <v>19309.562879827521</v>
      </c>
      <c r="C15">
        <v>51654.345695609045</v>
      </c>
      <c r="D15">
        <v>31637.815306799101</v>
      </c>
      <c r="E15">
        <v>102601.72388223567</v>
      </c>
      <c r="G15" s="2" t="s">
        <v>87</v>
      </c>
      <c r="H15">
        <v>1</v>
      </c>
      <c r="J15" s="2" t="s">
        <v>36</v>
      </c>
      <c r="K15">
        <v>9577.7496258687297</v>
      </c>
      <c r="L15" t="str">
        <f>INDEX(Table1[],MATCH($J15,Table1[SKU],0),MATCH('Pivot Table'!$L$10,Table1[#Headers],0))</f>
        <v>haircare</v>
      </c>
    </row>
    <row r="16" spans="1:12" x14ac:dyDescent="0.3">
      <c r="A16" s="2" t="s">
        <v>49</v>
      </c>
      <c r="B16">
        <v>37429.677330595317</v>
      </c>
      <c r="C16">
        <v>14625.900766711349</v>
      </c>
      <c r="D16">
        <v>28972.123127546263</v>
      </c>
      <c r="E16">
        <v>81027.701224852935</v>
      </c>
      <c r="G16" s="2" t="s">
        <v>48</v>
      </c>
      <c r="H16">
        <v>5</v>
      </c>
      <c r="J16" s="2" t="s">
        <v>85</v>
      </c>
      <c r="K16">
        <v>9571.5504873278096</v>
      </c>
      <c r="L16" t="str">
        <f>INDEX(Table1[],MATCH($J16,Table1[SKU],0),MATCH('Pivot Table'!$L$10,Table1[#Headers],0))</f>
        <v>skincare</v>
      </c>
    </row>
    <row r="17" spans="1:12" x14ac:dyDescent="0.3">
      <c r="G17" s="2" t="s">
        <v>100</v>
      </c>
      <c r="H17">
        <v>4</v>
      </c>
      <c r="J17" s="2" t="s">
        <v>120</v>
      </c>
      <c r="K17">
        <v>9473.7980325083299</v>
      </c>
      <c r="L17" t="str">
        <f>INDEX(Table1[],MATCH($J17,Table1[SKU],0),MATCH('Pivot Table'!$L$10,Table1[#Headers],0))</f>
        <v>skincare</v>
      </c>
    </row>
    <row r="18" spans="1:12" x14ac:dyDescent="0.3">
      <c r="A18" s="1" t="s">
        <v>177</v>
      </c>
      <c r="B18" t="s">
        <v>157</v>
      </c>
      <c r="G18" s="2" t="s">
        <v>110</v>
      </c>
      <c r="H18">
        <v>5</v>
      </c>
      <c r="J18" s="2" t="s">
        <v>141</v>
      </c>
      <c r="K18">
        <v>9444.7420330629793</v>
      </c>
      <c r="L18" t="str">
        <f>INDEX(Table1[],MATCH($J18,Table1[SKU],0),MATCH('Pivot Table'!$L$10,Table1[#Headers],0))</f>
        <v>cosmetics</v>
      </c>
    </row>
    <row r="19" spans="1:12" x14ac:dyDescent="0.3">
      <c r="A19" s="2" t="s">
        <v>37</v>
      </c>
      <c r="B19" s="10">
        <v>0.29966878429988542</v>
      </c>
      <c r="D19" t="s">
        <v>178</v>
      </c>
      <c r="G19" s="2" t="s">
        <v>121</v>
      </c>
      <c r="H19">
        <v>0</v>
      </c>
      <c r="J19" s="2" t="s">
        <v>105</v>
      </c>
      <c r="K19">
        <v>9435.7626089121295</v>
      </c>
      <c r="L19" t="str">
        <f>INDEX(Table1[],MATCH($J19,Table1[SKU],0),MATCH('Pivot Table'!$L$10,Table1[#Headers],0))</f>
        <v>skincare</v>
      </c>
    </row>
    <row r="20" spans="1:12" x14ac:dyDescent="0.3">
      <c r="A20" s="2" t="s">
        <v>34</v>
      </c>
      <c r="B20" s="10">
        <v>0.27962801535229365</v>
      </c>
      <c r="G20" s="2" t="s">
        <v>131</v>
      </c>
      <c r="H20">
        <v>5</v>
      </c>
      <c r="J20" s="2" t="s">
        <v>71</v>
      </c>
      <c r="K20">
        <v>9364.6735050761708</v>
      </c>
      <c r="L20" t="str">
        <f>INDEX(Table1[],MATCH($J20,Table1[SKU],0),MATCH('Pivot Table'!$L$10,Table1[#Headers],0))</f>
        <v>haircare</v>
      </c>
    </row>
    <row r="21" spans="1:12" x14ac:dyDescent="0.3">
      <c r="A21" s="2" t="s">
        <v>54</v>
      </c>
      <c r="B21" s="10">
        <v>0.21924054327744993</v>
      </c>
      <c r="G21" s="2" t="s">
        <v>58</v>
      </c>
      <c r="H21">
        <v>5</v>
      </c>
    </row>
    <row r="22" spans="1:12" x14ac:dyDescent="0.3">
      <c r="A22" s="2" t="s">
        <v>25</v>
      </c>
      <c r="B22" s="10">
        <v>0.20146265707037114</v>
      </c>
      <c r="G22" s="2" t="s">
        <v>140</v>
      </c>
      <c r="H22">
        <v>5</v>
      </c>
    </row>
    <row r="23" spans="1:12" x14ac:dyDescent="0.3">
      <c r="A23" s="2" t="s">
        <v>154</v>
      </c>
      <c r="B23" s="10">
        <v>1</v>
      </c>
    </row>
    <row r="25" spans="1:12" x14ac:dyDescent="0.3">
      <c r="A25" s="1" t="s">
        <v>153</v>
      </c>
      <c r="B25" t="s">
        <v>182</v>
      </c>
      <c r="C25" t="s">
        <v>158</v>
      </c>
      <c r="G25" s="1" t="s">
        <v>170</v>
      </c>
      <c r="H25" s="1" t="s">
        <v>155</v>
      </c>
    </row>
    <row r="26" spans="1:12" x14ac:dyDescent="0.3">
      <c r="A26" s="2" t="s">
        <v>38</v>
      </c>
      <c r="B26">
        <v>12.592592592592593</v>
      </c>
      <c r="C26">
        <v>1.8036297116882485</v>
      </c>
      <c r="G26" s="1" t="s">
        <v>153</v>
      </c>
      <c r="H26" t="s">
        <v>56</v>
      </c>
      <c r="I26" t="s">
        <v>23</v>
      </c>
      <c r="J26" t="s">
        <v>32</v>
      </c>
    </row>
    <row r="27" spans="1:12" x14ac:dyDescent="0.3">
      <c r="A27" s="2" t="s">
        <v>60</v>
      </c>
      <c r="B27">
        <v>15.590909090909092</v>
      </c>
      <c r="C27">
        <v>2.3627501450718764</v>
      </c>
      <c r="G27" s="2" t="s">
        <v>38</v>
      </c>
      <c r="H27">
        <v>44.095979047180606</v>
      </c>
      <c r="I27">
        <v>42.599572619478536</v>
      </c>
      <c r="J27">
        <v>46.679267855872887</v>
      </c>
    </row>
    <row r="28" spans="1:12" x14ac:dyDescent="0.3">
      <c r="A28" s="2" t="s">
        <v>27</v>
      </c>
      <c r="B28">
        <v>14.933333333333334</v>
      </c>
      <c r="C28">
        <v>2.4657860307644657</v>
      </c>
      <c r="G28" s="2" t="s">
        <v>60</v>
      </c>
      <c r="H28">
        <v>44.37545325943826</v>
      </c>
      <c r="I28">
        <v>47.051472446078975</v>
      </c>
      <c r="J28">
        <v>26.910482964500414</v>
      </c>
    </row>
    <row r="29" spans="1:12" x14ac:dyDescent="0.3">
      <c r="A29" s="2" t="s">
        <v>51</v>
      </c>
      <c r="B29">
        <v>15.333333333333334</v>
      </c>
      <c r="C29">
        <v>2.3373974005913354</v>
      </c>
      <c r="G29" s="2" t="s">
        <v>27</v>
      </c>
      <c r="H29">
        <v>17.803756331391199</v>
      </c>
      <c r="I29">
        <v>45.991945028328558</v>
      </c>
      <c r="J29">
        <v>45.194259803742199</v>
      </c>
    </row>
    <row r="30" spans="1:12" x14ac:dyDescent="0.3">
      <c r="A30" s="2" t="s">
        <v>43</v>
      </c>
      <c r="B30">
        <v>16.333333333333332</v>
      </c>
      <c r="C30">
        <v>2.6654083441491982</v>
      </c>
      <c r="G30" s="2" t="s">
        <v>51</v>
      </c>
      <c r="H30">
        <v>49.383064260780429</v>
      </c>
      <c r="I30">
        <v>58.86966180659855</v>
      </c>
      <c r="J30">
        <v>85.636552191161599</v>
      </c>
    </row>
    <row r="31" spans="1:12" x14ac:dyDescent="0.3">
      <c r="A31" s="2" t="s">
        <v>169</v>
      </c>
      <c r="B31">
        <v>14.77</v>
      </c>
      <c r="C31">
        <v>2.2771579927396055</v>
      </c>
      <c r="G31" s="2" t="s">
        <v>43</v>
      </c>
      <c r="H31">
        <v>40.676459055426108</v>
      </c>
      <c r="I31">
        <v>36.350711383878654</v>
      </c>
      <c r="J31">
        <v>53.67004503970189</v>
      </c>
    </row>
    <row r="34" spans="1:10" x14ac:dyDescent="0.3">
      <c r="A34" s="1" t="s">
        <v>181</v>
      </c>
      <c r="B34" t="s">
        <v>162</v>
      </c>
      <c r="C34" t="s">
        <v>159</v>
      </c>
      <c r="D34" t="s">
        <v>171</v>
      </c>
      <c r="G34" s="1" t="s">
        <v>164</v>
      </c>
      <c r="H34" t="s">
        <v>176</v>
      </c>
      <c r="I34" t="s">
        <v>175</v>
      </c>
      <c r="J34" s="4" t="s">
        <v>0</v>
      </c>
    </row>
    <row r="35" spans="1:10" x14ac:dyDescent="0.3">
      <c r="A35" s="2" t="s">
        <v>35</v>
      </c>
      <c r="G35" s="2" t="s">
        <v>36</v>
      </c>
      <c r="H35" s="6">
        <v>9435.8293440972102</v>
      </c>
      <c r="I35" s="6">
        <v>66.486827860785866</v>
      </c>
      <c r="J35" s="6" t="str">
        <f>INDEX(Table1[],MATCH($G35,Table1[SKU],0),MATCH('Pivot Table'!$J$34,Table1[#Headers],0))</f>
        <v>haircare</v>
      </c>
    </row>
    <row r="36" spans="1:10" x14ac:dyDescent="0.3">
      <c r="A36" s="3" t="s">
        <v>39</v>
      </c>
      <c r="B36">
        <v>6.2473890189734362</v>
      </c>
      <c r="C36">
        <v>23.2</v>
      </c>
      <c r="D36">
        <v>0.33588113005233527</v>
      </c>
      <c r="G36" s="2" t="s">
        <v>91</v>
      </c>
      <c r="H36">
        <v>9352.6451702698232</v>
      </c>
      <c r="I36">
        <v>27.534271935479921</v>
      </c>
      <c r="J36" t="str">
        <f>INDEX(Table1[],MATCH($G36,Table1[SKU],0),MATCH('Pivot Table'!$J$34,Table1[#Headers],0))</f>
        <v>cosmetics</v>
      </c>
    </row>
    <row r="37" spans="1:10" x14ac:dyDescent="0.3">
      <c r="A37" s="3" t="s">
        <v>46</v>
      </c>
      <c r="B37">
        <v>6.3998314106652421</v>
      </c>
      <c r="C37">
        <v>18.428571428571427</v>
      </c>
      <c r="D37">
        <v>0.48694369428974665</v>
      </c>
      <c r="G37" s="2" t="s">
        <v>141</v>
      </c>
      <c r="H37">
        <v>9340.8257851022754</v>
      </c>
      <c r="I37">
        <v>89.88802009705465</v>
      </c>
      <c r="J37" t="str">
        <f>INDEX(Table1[],MATCH($G37,Table1[SKU],0),MATCH('Pivot Table'!$J$34,Table1[#Headers],0))</f>
        <v>cosmetics</v>
      </c>
    </row>
    <row r="38" spans="1:10" x14ac:dyDescent="0.3">
      <c r="A38" s="3" t="s">
        <v>30</v>
      </c>
      <c r="B38">
        <v>5.4654595408748508</v>
      </c>
      <c r="C38">
        <v>13.727272727272727</v>
      </c>
      <c r="D38">
        <v>0.35157926871124773</v>
      </c>
      <c r="G38" s="2" t="s">
        <v>120</v>
      </c>
      <c r="H38">
        <v>9304.5262311235438</v>
      </c>
      <c r="I38">
        <v>54.967963683287337</v>
      </c>
      <c r="J38" t="str">
        <f>INDEX(Table1[],MATCH($G38,Table1[SKU],0),MATCH('Pivot Table'!$J$34,Table1[#Headers],0))</f>
        <v>skincare</v>
      </c>
    </row>
    <row r="39" spans="1:10" x14ac:dyDescent="0.3">
      <c r="A39" s="3" t="s">
        <v>55</v>
      </c>
      <c r="B39">
        <v>3.876402137417652</v>
      </c>
      <c r="C39">
        <v>23.4</v>
      </c>
      <c r="D39">
        <v>0.30765096328711528</v>
      </c>
      <c r="G39" s="2" t="s">
        <v>104</v>
      </c>
      <c r="H39">
        <v>9171.4831404002452</v>
      </c>
      <c r="I39">
        <v>13.196714374465842</v>
      </c>
      <c r="J39" t="str">
        <f>INDEX(Table1[],MATCH($G39,Table1[SKU],0),MATCH('Pivot Table'!$J$34,Table1[#Headers],0))</f>
        <v>haircare</v>
      </c>
    </row>
    <row r="40" spans="1:10" x14ac:dyDescent="0.3">
      <c r="A40" s="2" t="s">
        <v>26</v>
      </c>
      <c r="G40" s="2" t="s">
        <v>84</v>
      </c>
      <c r="H40">
        <v>9045.7558961009636</v>
      </c>
      <c r="I40">
        <v>14.844214895840924</v>
      </c>
      <c r="J40" t="str">
        <f>INDEX(Table1[],MATCH($G40,Table1[SKU],0),MATCH('Pivot Table'!$J$34,Table1[#Headers],0))</f>
        <v>skincare</v>
      </c>
    </row>
    <row r="41" spans="1:10" x14ac:dyDescent="0.3">
      <c r="A41" s="3" t="s">
        <v>39</v>
      </c>
      <c r="B41">
        <v>6.2164081895515659</v>
      </c>
      <c r="C41">
        <v>11.642857142857142</v>
      </c>
      <c r="D41">
        <v>0.38004242206865468</v>
      </c>
      <c r="G41" s="2" t="s">
        <v>152</v>
      </c>
      <c r="H41">
        <v>8974.4428202174549</v>
      </c>
      <c r="I41">
        <v>42.584771207001374</v>
      </c>
      <c r="J41" t="str">
        <f>INDEX(Table1[],MATCH($G41,Table1[SKU],0),MATCH('Pivot Table'!$J$34,Table1[#Headers],0))</f>
        <v>haircare</v>
      </c>
    </row>
    <row r="42" spans="1:10" x14ac:dyDescent="0.3">
      <c r="A42" s="3" t="s">
        <v>46</v>
      </c>
      <c r="B42">
        <v>5.2310360279906813</v>
      </c>
      <c r="C42">
        <v>16.600000000000001</v>
      </c>
      <c r="D42">
        <v>0.38844326940524859</v>
      </c>
      <c r="G42" s="2" t="s">
        <v>105</v>
      </c>
      <c r="H42">
        <v>8832.8641100737459</v>
      </c>
      <c r="I42">
        <v>14.650665289583914</v>
      </c>
      <c r="J42" t="str">
        <f>INDEX(Table1[],MATCH($G42,Table1[SKU],0),MATCH('Pivot Table'!$J$34,Table1[#Headers],0))</f>
        <v>skincare</v>
      </c>
    </row>
    <row r="43" spans="1:10" x14ac:dyDescent="0.3">
      <c r="A43" s="3" t="s">
        <v>30</v>
      </c>
      <c r="B43">
        <v>4.9763646684044751</v>
      </c>
      <c r="C43">
        <v>20.818181818181817</v>
      </c>
      <c r="D43">
        <v>0.24657662771373526</v>
      </c>
      <c r="G43" s="2" t="s">
        <v>85</v>
      </c>
      <c r="H43">
        <v>8810.3765778129327</v>
      </c>
      <c r="I43">
        <v>11.574722238480424</v>
      </c>
      <c r="J43" t="str">
        <f>INDEX(Table1[],MATCH($G43,Table1[SKU],0),MATCH('Pivot Table'!$J$34,Table1[#Headers],0))</f>
        <v>skincare</v>
      </c>
    </row>
    <row r="44" spans="1:10" x14ac:dyDescent="0.3">
      <c r="A44" s="3" t="s">
        <v>55</v>
      </c>
      <c r="B44">
        <v>5.5541177459679467</v>
      </c>
      <c r="C44">
        <v>19</v>
      </c>
      <c r="D44">
        <v>0.53749526573883355</v>
      </c>
      <c r="G44" s="2" t="s">
        <v>71</v>
      </c>
      <c r="H44">
        <v>8771.1932463555204</v>
      </c>
      <c r="I44">
        <v>14.779250223526118</v>
      </c>
      <c r="J44" t="str">
        <f>INDEX(Table1[],MATCH($G44,Table1[SKU],0),MATCH('Pivot Table'!$J$34,Table1[#Headers],0))</f>
        <v>haircare</v>
      </c>
    </row>
    <row r="45" spans="1:10" x14ac:dyDescent="0.3">
      <c r="A45" s="2" t="s">
        <v>42</v>
      </c>
    </row>
    <row r="46" spans="1:10" x14ac:dyDescent="0.3">
      <c r="A46" s="3" t="s">
        <v>39</v>
      </c>
      <c r="B46">
        <v>5.4567377246221245</v>
      </c>
      <c r="C46">
        <v>19.428571428571427</v>
      </c>
      <c r="D46">
        <v>0.24965466713957432</v>
      </c>
    </row>
    <row r="47" spans="1:10" x14ac:dyDescent="0.3">
      <c r="A47" s="3" t="s">
        <v>46</v>
      </c>
      <c r="B47">
        <v>4.9783969860605088</v>
      </c>
      <c r="C47">
        <v>18.833333333333332</v>
      </c>
      <c r="D47">
        <v>0.24284863346636626</v>
      </c>
      <c r="G47" s="1" t="s">
        <v>173</v>
      </c>
      <c r="H47" t="s">
        <v>161</v>
      </c>
      <c r="I47" t="s">
        <v>174</v>
      </c>
    </row>
    <row r="48" spans="1:10" x14ac:dyDescent="0.3">
      <c r="A48" s="3" t="s">
        <v>30</v>
      </c>
      <c r="B48">
        <v>6.5516114298936277</v>
      </c>
      <c r="C48">
        <v>20.428571428571427</v>
      </c>
      <c r="D48">
        <v>0.44097384624284036</v>
      </c>
      <c r="G48" s="2" t="s">
        <v>32</v>
      </c>
      <c r="H48" s="10">
        <v>0.41815724534801402</v>
      </c>
      <c r="I48">
        <v>9.8697964281418056</v>
      </c>
    </row>
    <row r="49" spans="1:9" x14ac:dyDescent="0.3">
      <c r="A49" s="3" t="s">
        <v>55</v>
      </c>
      <c r="B49">
        <v>5.3834034370904664</v>
      </c>
      <c r="C49">
        <v>11.666666666666666</v>
      </c>
      <c r="D49">
        <v>0.42876664543198406</v>
      </c>
      <c r="G49" s="2" t="s">
        <v>23</v>
      </c>
      <c r="H49" s="10">
        <v>0.299471021786894</v>
      </c>
      <c r="I49">
        <v>9.0673305551370937</v>
      </c>
    </row>
    <row r="50" spans="1:9" x14ac:dyDescent="0.3">
      <c r="A50" s="2" t="s">
        <v>169</v>
      </c>
      <c r="B50">
        <v>5.5481490720195836</v>
      </c>
      <c r="C50">
        <v>17.079999999999998</v>
      </c>
      <c r="D50">
        <v>0.34762838797115186</v>
      </c>
      <c r="G50" s="2" t="s">
        <v>56</v>
      </c>
      <c r="H50" s="10">
        <v>0.28237173286509248</v>
      </c>
      <c r="I50">
        <v>11.084128772904903</v>
      </c>
    </row>
  </sheetData>
  <conditionalFormatting pivot="1" sqref="D36:D39 D40 D41:D44 D45 D46:D49">
    <cfRule type="top10" dxfId="3" priority="1" bottom="1" rank="5"/>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2B2A0-0415-417B-96FF-52CF815F9971}">
  <dimension ref="A1:X101"/>
  <sheetViews>
    <sheetView topLeftCell="L1" workbookViewId="0">
      <selection activeCell="P72" sqref="P72"/>
    </sheetView>
  </sheetViews>
  <sheetFormatPr defaultRowHeight="14.4" x14ac:dyDescent="0.3"/>
  <cols>
    <col min="1" max="1" width="13.77734375" customWidth="1"/>
    <col min="4" max="4" width="12.109375" customWidth="1"/>
    <col min="5" max="5" width="23.77734375" customWidth="1"/>
    <col min="6" max="6" width="19.21875" customWidth="1"/>
    <col min="7" max="7" width="23.33203125" customWidth="1"/>
    <col min="8" max="8" width="12.6640625" customWidth="1"/>
    <col min="9" max="9" width="11.88671875" customWidth="1"/>
    <col min="10" max="10" width="16.44140625" customWidth="1"/>
    <col min="11" max="11" width="15.21875" customWidth="1"/>
    <col min="12" max="12" width="16.77734375" customWidth="1"/>
    <col min="13" max="13" width="14.88671875" customWidth="1"/>
    <col min="14" max="14" width="15" customWidth="1"/>
    <col min="15" max="15" width="10.109375" customWidth="1"/>
    <col min="16" max="16" width="11.109375" customWidth="1"/>
    <col min="17" max="17" width="19.77734375" customWidth="1"/>
    <col min="18" max="18" width="23.6640625" customWidth="1"/>
    <col min="19" max="19" width="20.109375" customWidth="1"/>
    <col min="20" max="20" width="17.5546875" customWidth="1"/>
    <col min="21" max="21" width="12.88671875" customWidth="1"/>
    <col min="22" max="22" width="21.44140625" customWidth="1"/>
    <col min="23" max="23" width="8.6640625" customWidth="1"/>
    <col min="24" max="24" width="12" bestFit="1" customWidth="1"/>
  </cols>
  <sheetData>
    <row r="1" spans="1:24"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168</v>
      </c>
      <c r="T1" t="s">
        <v>18</v>
      </c>
      <c r="U1" t="s">
        <v>19</v>
      </c>
      <c r="V1" t="s">
        <v>20</v>
      </c>
      <c r="W1" t="s">
        <v>21</v>
      </c>
      <c r="X1" t="s">
        <v>22</v>
      </c>
    </row>
    <row r="2" spans="1:24" x14ac:dyDescent="0.3">
      <c r="A2" t="s">
        <v>23</v>
      </c>
      <c r="B2" t="s">
        <v>24</v>
      </c>
      <c r="C2">
        <v>69.808005542115694</v>
      </c>
      <c r="D2">
        <v>55</v>
      </c>
      <c r="E2">
        <v>802</v>
      </c>
      <c r="F2">
        <v>8661.9967923923796</v>
      </c>
      <c r="G2" t="s">
        <v>25</v>
      </c>
      <c r="H2">
        <v>58</v>
      </c>
      <c r="I2">
        <v>7</v>
      </c>
      <c r="J2">
        <v>96</v>
      </c>
      <c r="K2">
        <v>4</v>
      </c>
      <c r="L2" t="s">
        <v>26</v>
      </c>
      <c r="M2">
        <v>2.9565721394308002</v>
      </c>
      <c r="N2" t="s">
        <v>27</v>
      </c>
      <c r="O2" t="s">
        <v>28</v>
      </c>
      <c r="P2">
        <v>29</v>
      </c>
      <c r="Q2">
        <v>215</v>
      </c>
      <c r="R2">
        <v>29</v>
      </c>
      <c r="S2">
        <v>46.279879240508301</v>
      </c>
      <c r="T2" t="s">
        <v>29</v>
      </c>
      <c r="U2">
        <v>0.226410360849925</v>
      </c>
      <c r="V2" t="s">
        <v>30</v>
      </c>
      <c r="W2" t="s">
        <v>31</v>
      </c>
      <c r="X2">
        <v>187.75207545920301</v>
      </c>
    </row>
    <row r="3" spans="1:24" x14ac:dyDescent="0.3">
      <c r="A3" t="s">
        <v>32</v>
      </c>
      <c r="B3" t="s">
        <v>33</v>
      </c>
      <c r="C3">
        <v>14.8435232750843</v>
      </c>
      <c r="D3">
        <v>95</v>
      </c>
      <c r="E3">
        <v>736</v>
      </c>
      <c r="F3">
        <v>7460.9000654458396</v>
      </c>
      <c r="G3" t="s">
        <v>34</v>
      </c>
      <c r="H3">
        <v>53</v>
      </c>
      <c r="I3">
        <v>30</v>
      </c>
      <c r="J3">
        <v>37</v>
      </c>
      <c r="K3">
        <v>2</v>
      </c>
      <c r="L3" t="s">
        <v>35</v>
      </c>
      <c r="M3" s="5">
        <v>9.7165747714313095</v>
      </c>
      <c r="N3" t="s">
        <v>27</v>
      </c>
      <c r="O3" t="s">
        <v>28</v>
      </c>
      <c r="P3">
        <v>23</v>
      </c>
      <c r="Q3">
        <v>517</v>
      </c>
      <c r="R3">
        <v>30</v>
      </c>
      <c r="S3">
        <v>33.616768953730002</v>
      </c>
      <c r="T3" t="s">
        <v>29</v>
      </c>
      <c r="U3">
        <v>4.8540680263886999</v>
      </c>
      <c r="V3" t="s">
        <v>30</v>
      </c>
      <c r="W3" t="s">
        <v>31</v>
      </c>
      <c r="X3">
        <v>503.06557914966902</v>
      </c>
    </row>
    <row r="4" spans="1:24" x14ac:dyDescent="0.3">
      <c r="A4" t="s">
        <v>23</v>
      </c>
      <c r="B4" t="s">
        <v>36</v>
      </c>
      <c r="C4">
        <v>11.319683293090501</v>
      </c>
      <c r="D4">
        <v>34</v>
      </c>
      <c r="E4">
        <v>8</v>
      </c>
      <c r="F4">
        <v>9577.7496258687297</v>
      </c>
      <c r="G4" t="s">
        <v>37</v>
      </c>
      <c r="H4">
        <v>1</v>
      </c>
      <c r="I4">
        <v>10</v>
      </c>
      <c r="J4">
        <v>88</v>
      </c>
      <c r="K4">
        <v>2</v>
      </c>
      <c r="L4" t="s">
        <v>26</v>
      </c>
      <c r="M4">
        <v>8.0544792617321495</v>
      </c>
      <c r="N4" t="s">
        <v>38</v>
      </c>
      <c r="O4" t="s">
        <v>28</v>
      </c>
      <c r="P4">
        <v>12</v>
      </c>
      <c r="Q4">
        <v>971</v>
      </c>
      <c r="R4">
        <v>27</v>
      </c>
      <c r="S4">
        <v>30.6880193482842</v>
      </c>
      <c r="T4" t="s">
        <v>29</v>
      </c>
      <c r="U4">
        <v>4.5805926191992201</v>
      </c>
      <c r="V4" t="s">
        <v>39</v>
      </c>
      <c r="W4" t="s">
        <v>40</v>
      </c>
      <c r="X4">
        <v>141.920281771519</v>
      </c>
    </row>
    <row r="5" spans="1:24" x14ac:dyDescent="0.3">
      <c r="A5" t="s">
        <v>32</v>
      </c>
      <c r="B5" t="s">
        <v>41</v>
      </c>
      <c r="C5">
        <v>61.1633430164377</v>
      </c>
      <c r="D5">
        <v>68</v>
      </c>
      <c r="E5">
        <v>83</v>
      </c>
      <c r="F5">
        <v>7766.8364256852301</v>
      </c>
      <c r="G5" t="s">
        <v>25</v>
      </c>
      <c r="H5">
        <v>23</v>
      </c>
      <c r="I5">
        <v>13</v>
      </c>
      <c r="J5">
        <v>59</v>
      </c>
      <c r="K5">
        <v>6</v>
      </c>
      <c r="L5" t="s">
        <v>42</v>
      </c>
      <c r="M5">
        <v>1.7295685635434199</v>
      </c>
      <c r="N5" t="s">
        <v>43</v>
      </c>
      <c r="O5" t="s">
        <v>44</v>
      </c>
      <c r="P5">
        <v>24</v>
      </c>
      <c r="Q5">
        <v>937</v>
      </c>
      <c r="R5">
        <v>18</v>
      </c>
      <c r="S5">
        <v>35.624741397125</v>
      </c>
      <c r="T5" t="s">
        <v>45</v>
      </c>
      <c r="U5">
        <v>4.7466486206477496</v>
      </c>
      <c r="V5" t="s">
        <v>46</v>
      </c>
      <c r="W5" t="s">
        <v>47</v>
      </c>
      <c r="X5">
        <v>254.776159219286</v>
      </c>
    </row>
    <row r="6" spans="1:24" x14ac:dyDescent="0.3">
      <c r="A6" t="s">
        <v>32</v>
      </c>
      <c r="B6" t="s">
        <v>48</v>
      </c>
      <c r="C6">
        <v>4.8054960363458896</v>
      </c>
      <c r="D6">
        <v>26</v>
      </c>
      <c r="E6">
        <v>871</v>
      </c>
      <c r="F6">
        <v>2686.50515156744</v>
      </c>
      <c r="G6" t="s">
        <v>25</v>
      </c>
      <c r="H6">
        <v>5</v>
      </c>
      <c r="I6">
        <v>3</v>
      </c>
      <c r="J6">
        <v>56</v>
      </c>
      <c r="K6">
        <v>8</v>
      </c>
      <c r="L6" t="s">
        <v>35</v>
      </c>
      <c r="M6">
        <v>3.8905479158706702</v>
      </c>
      <c r="N6" t="s">
        <v>38</v>
      </c>
      <c r="O6" t="s">
        <v>49</v>
      </c>
      <c r="P6">
        <v>5</v>
      </c>
      <c r="Q6">
        <v>414</v>
      </c>
      <c r="R6">
        <v>3</v>
      </c>
      <c r="S6">
        <v>92.065160598712794</v>
      </c>
      <c r="T6" t="s">
        <v>45</v>
      </c>
      <c r="U6">
        <v>3.1455795228330001</v>
      </c>
      <c r="V6" t="s">
        <v>39</v>
      </c>
      <c r="W6" t="s">
        <v>47</v>
      </c>
      <c r="X6">
        <v>923.44063171192204</v>
      </c>
    </row>
    <row r="7" spans="1:24" x14ac:dyDescent="0.3">
      <c r="A7" t="s">
        <v>23</v>
      </c>
      <c r="B7" t="s">
        <v>50</v>
      </c>
      <c r="C7">
        <v>1.6999760138659299</v>
      </c>
      <c r="D7">
        <v>87</v>
      </c>
      <c r="E7">
        <v>147</v>
      </c>
      <c r="F7">
        <v>2828.3487459757498</v>
      </c>
      <c r="G7" t="s">
        <v>25</v>
      </c>
      <c r="H7">
        <v>90</v>
      </c>
      <c r="I7">
        <v>27</v>
      </c>
      <c r="J7">
        <v>66</v>
      </c>
      <c r="K7">
        <v>3</v>
      </c>
      <c r="L7" t="s">
        <v>26</v>
      </c>
      <c r="M7">
        <v>4.4440988643822896</v>
      </c>
      <c r="N7" t="s">
        <v>51</v>
      </c>
      <c r="O7" t="s">
        <v>52</v>
      </c>
      <c r="P7">
        <v>10</v>
      </c>
      <c r="Q7">
        <v>104</v>
      </c>
      <c r="R7">
        <v>17</v>
      </c>
      <c r="S7">
        <v>56.766475557431797</v>
      </c>
      <c r="T7" t="s">
        <v>45</v>
      </c>
      <c r="U7">
        <v>2.7791935115711599</v>
      </c>
      <c r="V7" t="s">
        <v>30</v>
      </c>
      <c r="W7" t="s">
        <v>47</v>
      </c>
      <c r="X7">
        <v>235.461236735537</v>
      </c>
    </row>
    <row r="8" spans="1:24" x14ac:dyDescent="0.3">
      <c r="A8" t="s">
        <v>32</v>
      </c>
      <c r="B8" t="s">
        <v>53</v>
      </c>
      <c r="C8">
        <v>4.0783328631079403</v>
      </c>
      <c r="D8">
        <v>48</v>
      </c>
      <c r="E8">
        <v>65</v>
      </c>
      <c r="F8">
        <v>7823.4765595317303</v>
      </c>
      <c r="G8" t="s">
        <v>54</v>
      </c>
      <c r="H8">
        <v>11</v>
      </c>
      <c r="I8">
        <v>15</v>
      </c>
      <c r="J8">
        <v>58</v>
      </c>
      <c r="K8">
        <v>8</v>
      </c>
      <c r="L8" t="s">
        <v>42</v>
      </c>
      <c r="M8">
        <v>3.8807633029519999</v>
      </c>
      <c r="N8" t="s">
        <v>27</v>
      </c>
      <c r="O8" t="s">
        <v>44</v>
      </c>
      <c r="P8">
        <v>14</v>
      </c>
      <c r="Q8">
        <v>314</v>
      </c>
      <c r="R8">
        <v>24</v>
      </c>
      <c r="S8">
        <v>1.0850685695870601</v>
      </c>
      <c r="T8" t="s">
        <v>29</v>
      </c>
      <c r="U8">
        <v>1.0009106193041299</v>
      </c>
      <c r="V8" t="s">
        <v>55</v>
      </c>
      <c r="W8" t="s">
        <v>47</v>
      </c>
      <c r="X8">
        <v>134.36909686103101</v>
      </c>
    </row>
    <row r="9" spans="1:24" x14ac:dyDescent="0.3">
      <c r="A9" t="s">
        <v>56</v>
      </c>
      <c r="B9" t="s">
        <v>57</v>
      </c>
      <c r="C9">
        <v>42.958384382459997</v>
      </c>
      <c r="D9">
        <v>59</v>
      </c>
      <c r="E9">
        <v>426</v>
      </c>
      <c r="F9">
        <v>8496.1038130898305</v>
      </c>
      <c r="G9" t="s">
        <v>34</v>
      </c>
      <c r="H9">
        <v>93</v>
      </c>
      <c r="I9">
        <v>17</v>
      </c>
      <c r="J9">
        <v>11</v>
      </c>
      <c r="K9">
        <v>1</v>
      </c>
      <c r="L9" t="s">
        <v>26</v>
      </c>
      <c r="M9">
        <v>2.3483387844177801</v>
      </c>
      <c r="N9" t="s">
        <v>51</v>
      </c>
      <c r="O9" t="s">
        <v>52</v>
      </c>
      <c r="P9">
        <v>22</v>
      </c>
      <c r="Q9">
        <v>564</v>
      </c>
      <c r="R9">
        <v>1</v>
      </c>
      <c r="S9">
        <v>99.466108603599096</v>
      </c>
      <c r="T9" t="s">
        <v>45</v>
      </c>
      <c r="U9">
        <v>0.39817718685065001</v>
      </c>
      <c r="V9" t="s">
        <v>30</v>
      </c>
      <c r="W9" t="s">
        <v>40</v>
      </c>
      <c r="X9">
        <v>802.05631181755803</v>
      </c>
    </row>
    <row r="10" spans="1:24" x14ac:dyDescent="0.3">
      <c r="A10" t="s">
        <v>56</v>
      </c>
      <c r="B10" t="s">
        <v>58</v>
      </c>
      <c r="C10">
        <v>68.717596748527299</v>
      </c>
      <c r="D10">
        <v>78</v>
      </c>
      <c r="E10">
        <v>150</v>
      </c>
      <c r="F10">
        <v>7517.3632106311197</v>
      </c>
      <c r="G10" t="s">
        <v>34</v>
      </c>
      <c r="H10">
        <v>5</v>
      </c>
      <c r="I10">
        <v>10</v>
      </c>
      <c r="J10">
        <v>15</v>
      </c>
      <c r="K10">
        <v>7</v>
      </c>
      <c r="L10" t="s">
        <v>42</v>
      </c>
      <c r="M10">
        <v>3.4047338570830199</v>
      </c>
      <c r="N10" t="s">
        <v>51</v>
      </c>
      <c r="O10" t="s">
        <v>28</v>
      </c>
      <c r="P10">
        <v>13</v>
      </c>
      <c r="Q10">
        <v>769</v>
      </c>
      <c r="R10">
        <v>8</v>
      </c>
      <c r="S10">
        <v>11.423027139565599</v>
      </c>
      <c r="T10" t="s">
        <v>29</v>
      </c>
      <c r="U10">
        <v>2.7098626911099601</v>
      </c>
      <c r="V10" t="s">
        <v>55</v>
      </c>
      <c r="W10" t="s">
        <v>31</v>
      </c>
      <c r="X10">
        <v>505.55713422546398</v>
      </c>
    </row>
    <row r="11" spans="1:24" x14ac:dyDescent="0.3">
      <c r="A11" t="s">
        <v>32</v>
      </c>
      <c r="B11" t="s">
        <v>59</v>
      </c>
      <c r="C11">
        <v>64.0157329412785</v>
      </c>
      <c r="D11">
        <v>35</v>
      </c>
      <c r="E11">
        <v>980</v>
      </c>
      <c r="F11">
        <v>4971.1459875855498</v>
      </c>
      <c r="G11" t="s">
        <v>37</v>
      </c>
      <c r="H11">
        <v>14</v>
      </c>
      <c r="I11">
        <v>27</v>
      </c>
      <c r="J11">
        <v>83</v>
      </c>
      <c r="K11">
        <v>1</v>
      </c>
      <c r="L11" t="s">
        <v>35</v>
      </c>
      <c r="M11">
        <v>7.1666452910482104</v>
      </c>
      <c r="N11" t="s">
        <v>60</v>
      </c>
      <c r="O11" t="s">
        <v>61</v>
      </c>
      <c r="P11">
        <v>29</v>
      </c>
      <c r="Q11">
        <v>963</v>
      </c>
      <c r="R11">
        <v>23</v>
      </c>
      <c r="S11">
        <v>47.957601634951502</v>
      </c>
      <c r="T11" t="s">
        <v>29</v>
      </c>
      <c r="U11">
        <v>3.8446144787675798</v>
      </c>
      <c r="V11" t="s">
        <v>46</v>
      </c>
      <c r="W11" t="s">
        <v>31</v>
      </c>
      <c r="X11">
        <v>995.92946149864099</v>
      </c>
    </row>
    <row r="12" spans="1:24" x14ac:dyDescent="0.3">
      <c r="A12" t="s">
        <v>32</v>
      </c>
      <c r="B12" t="s">
        <v>62</v>
      </c>
      <c r="C12">
        <v>15.707795681912099</v>
      </c>
      <c r="D12">
        <v>11</v>
      </c>
      <c r="E12">
        <v>996</v>
      </c>
      <c r="F12">
        <v>2330.9658020919401</v>
      </c>
      <c r="G12" t="s">
        <v>25</v>
      </c>
      <c r="H12">
        <v>51</v>
      </c>
      <c r="I12">
        <v>13</v>
      </c>
      <c r="J12">
        <v>80</v>
      </c>
      <c r="K12">
        <v>2</v>
      </c>
      <c r="L12" t="s">
        <v>42</v>
      </c>
      <c r="M12">
        <v>8.6732112112786108</v>
      </c>
      <c r="N12" t="s">
        <v>43</v>
      </c>
      <c r="O12" t="s">
        <v>44</v>
      </c>
      <c r="P12">
        <v>18</v>
      </c>
      <c r="Q12">
        <v>830</v>
      </c>
      <c r="R12">
        <v>5</v>
      </c>
      <c r="S12">
        <v>96.527352785310896</v>
      </c>
      <c r="T12" t="s">
        <v>63</v>
      </c>
      <c r="U12">
        <v>1.72731392835594</v>
      </c>
      <c r="V12" t="s">
        <v>30</v>
      </c>
      <c r="W12" t="s">
        <v>31</v>
      </c>
      <c r="X12">
        <v>806.10317770292295</v>
      </c>
    </row>
    <row r="13" spans="1:24" x14ac:dyDescent="0.3">
      <c r="A13" t="s">
        <v>32</v>
      </c>
      <c r="B13" t="s">
        <v>64</v>
      </c>
      <c r="C13">
        <v>90.635459982288594</v>
      </c>
      <c r="D13">
        <v>95</v>
      </c>
      <c r="E13">
        <v>960</v>
      </c>
      <c r="F13">
        <v>6099.9441155814502</v>
      </c>
      <c r="G13" t="s">
        <v>34</v>
      </c>
      <c r="H13">
        <v>46</v>
      </c>
      <c r="I13">
        <v>23</v>
      </c>
      <c r="J13">
        <v>60</v>
      </c>
      <c r="K13">
        <v>1</v>
      </c>
      <c r="L13" t="s">
        <v>35</v>
      </c>
      <c r="M13">
        <v>4.5239431243166601</v>
      </c>
      <c r="N13" t="s">
        <v>60</v>
      </c>
      <c r="O13" t="s">
        <v>44</v>
      </c>
      <c r="P13">
        <v>28</v>
      </c>
      <c r="Q13">
        <v>362</v>
      </c>
      <c r="R13">
        <v>11</v>
      </c>
      <c r="S13">
        <v>27.5923630866636</v>
      </c>
      <c r="T13" t="s">
        <v>29</v>
      </c>
      <c r="U13">
        <v>2.1169821372994301E-2</v>
      </c>
      <c r="V13" t="s">
        <v>39</v>
      </c>
      <c r="W13" t="s">
        <v>47</v>
      </c>
      <c r="X13">
        <v>126.72303340940699</v>
      </c>
    </row>
    <row r="14" spans="1:24" x14ac:dyDescent="0.3">
      <c r="A14" t="s">
        <v>23</v>
      </c>
      <c r="B14" t="s">
        <v>65</v>
      </c>
      <c r="C14">
        <v>71.213389075359999</v>
      </c>
      <c r="D14">
        <v>41</v>
      </c>
      <c r="E14">
        <v>336</v>
      </c>
      <c r="F14">
        <v>2873.74144602144</v>
      </c>
      <c r="G14" t="s">
        <v>37</v>
      </c>
      <c r="H14">
        <v>100</v>
      </c>
      <c r="I14">
        <v>30</v>
      </c>
      <c r="J14">
        <v>85</v>
      </c>
      <c r="K14">
        <v>4</v>
      </c>
      <c r="L14" t="s">
        <v>35</v>
      </c>
      <c r="M14">
        <v>1.32527401018452</v>
      </c>
      <c r="N14" t="s">
        <v>51</v>
      </c>
      <c r="O14" t="s">
        <v>44</v>
      </c>
      <c r="P14">
        <v>3</v>
      </c>
      <c r="Q14">
        <v>563</v>
      </c>
      <c r="R14">
        <v>3</v>
      </c>
      <c r="S14">
        <v>32.321286213424003</v>
      </c>
      <c r="T14" t="s">
        <v>45</v>
      </c>
      <c r="U14">
        <v>2.1612537475559099</v>
      </c>
      <c r="V14" t="s">
        <v>30</v>
      </c>
      <c r="W14" t="s">
        <v>31</v>
      </c>
      <c r="X14">
        <v>402.96878907376998</v>
      </c>
    </row>
    <row r="15" spans="1:24" x14ac:dyDescent="0.3">
      <c r="A15" t="s">
        <v>32</v>
      </c>
      <c r="B15" t="s">
        <v>66</v>
      </c>
      <c r="C15">
        <v>16.160393317379899</v>
      </c>
      <c r="D15">
        <v>5</v>
      </c>
      <c r="E15">
        <v>249</v>
      </c>
      <c r="F15">
        <v>4052.7384162378598</v>
      </c>
      <c r="G15" t="s">
        <v>54</v>
      </c>
      <c r="H15">
        <v>80</v>
      </c>
      <c r="I15">
        <v>8</v>
      </c>
      <c r="J15">
        <v>48</v>
      </c>
      <c r="K15">
        <v>9</v>
      </c>
      <c r="L15" t="s">
        <v>35</v>
      </c>
      <c r="M15">
        <v>9.5372830611083295</v>
      </c>
      <c r="N15" t="s">
        <v>43</v>
      </c>
      <c r="O15" t="s">
        <v>52</v>
      </c>
      <c r="P15">
        <v>23</v>
      </c>
      <c r="Q15">
        <v>173</v>
      </c>
      <c r="R15">
        <v>10</v>
      </c>
      <c r="S15">
        <v>97.829050110173199</v>
      </c>
      <c r="T15" t="s">
        <v>29</v>
      </c>
      <c r="U15">
        <v>1.63107423007153</v>
      </c>
      <c r="V15" t="s">
        <v>30</v>
      </c>
      <c r="W15" t="s">
        <v>31</v>
      </c>
      <c r="X15">
        <v>547.24100516096803</v>
      </c>
    </row>
    <row r="16" spans="1:24" x14ac:dyDescent="0.3">
      <c r="A16" t="s">
        <v>32</v>
      </c>
      <c r="B16" t="s">
        <v>67</v>
      </c>
      <c r="C16">
        <v>99.171328638624104</v>
      </c>
      <c r="D16">
        <v>26</v>
      </c>
      <c r="E16">
        <v>562</v>
      </c>
      <c r="F16">
        <v>8653.5709264697998</v>
      </c>
      <c r="G16" t="s">
        <v>25</v>
      </c>
      <c r="H16">
        <v>54</v>
      </c>
      <c r="I16">
        <v>29</v>
      </c>
      <c r="J16">
        <v>78</v>
      </c>
      <c r="K16">
        <v>5</v>
      </c>
      <c r="L16" t="s">
        <v>26</v>
      </c>
      <c r="M16">
        <v>2.0397701894493299</v>
      </c>
      <c r="N16" t="s">
        <v>38</v>
      </c>
      <c r="O16" t="s">
        <v>44</v>
      </c>
      <c r="P16">
        <v>25</v>
      </c>
      <c r="Q16">
        <v>558</v>
      </c>
      <c r="R16">
        <v>14</v>
      </c>
      <c r="S16">
        <v>5.7914366298629796</v>
      </c>
      <c r="T16" t="s">
        <v>29</v>
      </c>
      <c r="U16">
        <v>0.100682851565093</v>
      </c>
      <c r="V16" t="s">
        <v>39</v>
      </c>
      <c r="W16" t="s">
        <v>31</v>
      </c>
      <c r="X16">
        <v>929.23528996088896</v>
      </c>
    </row>
    <row r="17" spans="1:24" x14ac:dyDescent="0.3">
      <c r="A17" t="s">
        <v>32</v>
      </c>
      <c r="B17" t="s">
        <v>68</v>
      </c>
      <c r="C17">
        <v>36.989244928626903</v>
      </c>
      <c r="D17">
        <v>94</v>
      </c>
      <c r="E17">
        <v>469</v>
      </c>
      <c r="F17">
        <v>5442.0867853976697</v>
      </c>
      <c r="G17" t="s">
        <v>25</v>
      </c>
      <c r="H17">
        <v>9</v>
      </c>
      <c r="I17">
        <v>8</v>
      </c>
      <c r="J17">
        <v>69</v>
      </c>
      <c r="K17">
        <v>7</v>
      </c>
      <c r="L17" t="s">
        <v>26</v>
      </c>
      <c r="M17">
        <v>2.4220397232752</v>
      </c>
      <c r="N17" t="s">
        <v>38</v>
      </c>
      <c r="O17" t="s">
        <v>52</v>
      </c>
      <c r="P17">
        <v>14</v>
      </c>
      <c r="Q17">
        <v>580</v>
      </c>
      <c r="R17">
        <v>7</v>
      </c>
      <c r="S17">
        <v>97.121281751474299</v>
      </c>
      <c r="T17" t="s">
        <v>63</v>
      </c>
      <c r="U17">
        <v>2.2644057611985402</v>
      </c>
      <c r="V17" t="s">
        <v>55</v>
      </c>
      <c r="W17" t="s">
        <v>31</v>
      </c>
      <c r="X17">
        <v>127.861800001625</v>
      </c>
    </row>
    <row r="18" spans="1:24" x14ac:dyDescent="0.3">
      <c r="A18" t="s">
        <v>32</v>
      </c>
      <c r="B18" t="s">
        <v>69</v>
      </c>
      <c r="C18">
        <v>7.5471721097912701</v>
      </c>
      <c r="D18">
        <v>74</v>
      </c>
      <c r="E18">
        <v>280</v>
      </c>
      <c r="F18">
        <v>6453.7979681762799</v>
      </c>
      <c r="G18" t="s">
        <v>34</v>
      </c>
      <c r="H18">
        <v>2</v>
      </c>
      <c r="I18">
        <v>5</v>
      </c>
      <c r="J18">
        <v>78</v>
      </c>
      <c r="K18">
        <v>1</v>
      </c>
      <c r="L18" t="s">
        <v>26</v>
      </c>
      <c r="M18">
        <v>4.1913245857054999</v>
      </c>
      <c r="N18" t="s">
        <v>38</v>
      </c>
      <c r="O18" t="s">
        <v>52</v>
      </c>
      <c r="P18">
        <v>3</v>
      </c>
      <c r="Q18">
        <v>399</v>
      </c>
      <c r="R18">
        <v>21</v>
      </c>
      <c r="S18">
        <v>77.106342497849994</v>
      </c>
      <c r="T18" t="s">
        <v>63</v>
      </c>
      <c r="U18">
        <v>1.01256308925804</v>
      </c>
      <c r="V18" t="s">
        <v>39</v>
      </c>
      <c r="W18" t="s">
        <v>47</v>
      </c>
      <c r="X18">
        <v>865.52577977123997</v>
      </c>
    </row>
    <row r="19" spans="1:24" x14ac:dyDescent="0.3">
      <c r="A19" t="s">
        <v>56</v>
      </c>
      <c r="B19" t="s">
        <v>70</v>
      </c>
      <c r="C19">
        <v>81.462534369237005</v>
      </c>
      <c r="D19">
        <v>82</v>
      </c>
      <c r="E19">
        <v>126</v>
      </c>
      <c r="F19">
        <v>2629.39643484526</v>
      </c>
      <c r="G19" t="s">
        <v>34</v>
      </c>
      <c r="H19">
        <v>45</v>
      </c>
      <c r="I19">
        <v>17</v>
      </c>
      <c r="J19">
        <v>85</v>
      </c>
      <c r="K19">
        <v>9</v>
      </c>
      <c r="L19" t="s">
        <v>42</v>
      </c>
      <c r="M19">
        <v>3.5854189582323399</v>
      </c>
      <c r="N19" t="s">
        <v>38</v>
      </c>
      <c r="O19" t="s">
        <v>61</v>
      </c>
      <c r="P19">
        <v>7</v>
      </c>
      <c r="Q19">
        <v>453</v>
      </c>
      <c r="R19">
        <v>16</v>
      </c>
      <c r="S19">
        <v>47.679680368355299</v>
      </c>
      <c r="T19" t="s">
        <v>45</v>
      </c>
      <c r="U19">
        <v>0.102020754918176</v>
      </c>
      <c r="V19" t="s">
        <v>39</v>
      </c>
      <c r="W19" t="s">
        <v>40</v>
      </c>
      <c r="X19">
        <v>670.93439079241</v>
      </c>
    </row>
    <row r="20" spans="1:24" x14ac:dyDescent="0.3">
      <c r="A20" t="s">
        <v>23</v>
      </c>
      <c r="B20" t="s">
        <v>71</v>
      </c>
      <c r="C20">
        <v>36.4436277704609</v>
      </c>
      <c r="D20">
        <v>23</v>
      </c>
      <c r="E20">
        <v>620</v>
      </c>
      <c r="F20">
        <v>9364.6735050761708</v>
      </c>
      <c r="G20" t="s">
        <v>37</v>
      </c>
      <c r="H20">
        <v>10</v>
      </c>
      <c r="I20">
        <v>10</v>
      </c>
      <c r="J20">
        <v>46</v>
      </c>
      <c r="K20">
        <v>8</v>
      </c>
      <c r="L20" t="s">
        <v>42</v>
      </c>
      <c r="M20">
        <v>4.3392247141107001</v>
      </c>
      <c r="N20" t="s">
        <v>60</v>
      </c>
      <c r="O20" t="s">
        <v>44</v>
      </c>
      <c r="P20">
        <v>18</v>
      </c>
      <c r="Q20">
        <v>374</v>
      </c>
      <c r="R20">
        <v>17</v>
      </c>
      <c r="S20">
        <v>27.107980854843898</v>
      </c>
      <c r="T20" t="s">
        <v>29</v>
      </c>
      <c r="U20">
        <v>2.2319391107292601</v>
      </c>
      <c r="V20" t="s">
        <v>55</v>
      </c>
      <c r="W20" t="s">
        <v>47</v>
      </c>
      <c r="X20">
        <v>593.48025872065102</v>
      </c>
    </row>
    <row r="21" spans="1:24" x14ac:dyDescent="0.3">
      <c r="A21" t="s">
        <v>32</v>
      </c>
      <c r="B21" t="s">
        <v>72</v>
      </c>
      <c r="C21">
        <v>51.123870087964697</v>
      </c>
      <c r="D21">
        <v>100</v>
      </c>
      <c r="E21">
        <v>187</v>
      </c>
      <c r="F21">
        <v>2553.4955849912099</v>
      </c>
      <c r="G21" t="s">
        <v>37</v>
      </c>
      <c r="H21">
        <v>48</v>
      </c>
      <c r="I21">
        <v>11</v>
      </c>
      <c r="J21">
        <v>94</v>
      </c>
      <c r="K21">
        <v>3</v>
      </c>
      <c r="L21" t="s">
        <v>35</v>
      </c>
      <c r="M21">
        <v>4.7426358828418698</v>
      </c>
      <c r="N21" t="s">
        <v>51</v>
      </c>
      <c r="O21" t="s">
        <v>61</v>
      </c>
      <c r="P21">
        <v>20</v>
      </c>
      <c r="Q21">
        <v>694</v>
      </c>
      <c r="R21">
        <v>16</v>
      </c>
      <c r="S21">
        <v>82.373320587990193</v>
      </c>
      <c r="T21" t="s">
        <v>45</v>
      </c>
      <c r="U21">
        <v>3.64645086541702</v>
      </c>
      <c r="V21" t="s">
        <v>30</v>
      </c>
      <c r="W21" t="s">
        <v>40</v>
      </c>
      <c r="X21">
        <v>477.30763109090299</v>
      </c>
    </row>
    <row r="22" spans="1:24" x14ac:dyDescent="0.3">
      <c r="A22" t="s">
        <v>32</v>
      </c>
      <c r="B22" t="s">
        <v>73</v>
      </c>
      <c r="C22">
        <v>96.341072439963298</v>
      </c>
      <c r="D22">
        <v>22</v>
      </c>
      <c r="E22">
        <v>320</v>
      </c>
      <c r="F22">
        <v>8128.0276968511898</v>
      </c>
      <c r="G22" t="s">
        <v>37</v>
      </c>
      <c r="H22">
        <v>27</v>
      </c>
      <c r="I22">
        <v>12</v>
      </c>
      <c r="J22">
        <v>68</v>
      </c>
      <c r="K22">
        <v>6</v>
      </c>
      <c r="L22" t="s">
        <v>35</v>
      </c>
      <c r="M22">
        <v>8.8783346509268402</v>
      </c>
      <c r="N22" t="s">
        <v>38</v>
      </c>
      <c r="O22" t="s">
        <v>61</v>
      </c>
      <c r="P22">
        <v>29</v>
      </c>
      <c r="Q22">
        <v>309</v>
      </c>
      <c r="R22">
        <v>6</v>
      </c>
      <c r="S22">
        <v>65.686259608488598</v>
      </c>
      <c r="T22" t="s">
        <v>63</v>
      </c>
      <c r="U22">
        <v>4.2314165735345304</v>
      </c>
      <c r="V22" t="s">
        <v>39</v>
      </c>
      <c r="W22" t="s">
        <v>31</v>
      </c>
      <c r="X22">
        <v>493.871215316205</v>
      </c>
    </row>
    <row r="23" spans="1:24" x14ac:dyDescent="0.3">
      <c r="A23" t="s">
        <v>56</v>
      </c>
      <c r="B23" t="s">
        <v>74</v>
      </c>
      <c r="C23">
        <v>84.893868984950799</v>
      </c>
      <c r="D23">
        <v>60</v>
      </c>
      <c r="E23">
        <v>601</v>
      </c>
      <c r="F23">
        <v>7087.0526963574302</v>
      </c>
      <c r="G23" t="s">
        <v>37</v>
      </c>
      <c r="H23">
        <v>69</v>
      </c>
      <c r="I23">
        <v>25</v>
      </c>
      <c r="J23">
        <v>7</v>
      </c>
      <c r="K23">
        <v>6</v>
      </c>
      <c r="L23" t="s">
        <v>26</v>
      </c>
      <c r="M23">
        <v>6.0378837692182898</v>
      </c>
      <c r="N23" t="s">
        <v>43</v>
      </c>
      <c r="O23" t="s">
        <v>61</v>
      </c>
      <c r="P23">
        <v>19</v>
      </c>
      <c r="Q23">
        <v>791</v>
      </c>
      <c r="R23">
        <v>4</v>
      </c>
      <c r="S23">
        <v>61.735728954160898</v>
      </c>
      <c r="T23" t="s">
        <v>29</v>
      </c>
      <c r="U23">
        <v>1.8607567631014899E-2</v>
      </c>
      <c r="V23" t="s">
        <v>39</v>
      </c>
      <c r="W23" t="s">
        <v>40</v>
      </c>
      <c r="X23">
        <v>523.36091472015801</v>
      </c>
    </row>
    <row r="24" spans="1:24" x14ac:dyDescent="0.3">
      <c r="A24" t="s">
        <v>23</v>
      </c>
      <c r="B24" t="s">
        <v>75</v>
      </c>
      <c r="C24">
        <v>27.679780886501899</v>
      </c>
      <c r="D24">
        <v>55</v>
      </c>
      <c r="E24">
        <v>884</v>
      </c>
      <c r="F24">
        <v>2390.8078665561702</v>
      </c>
      <c r="G24" t="s">
        <v>37</v>
      </c>
      <c r="H24">
        <v>71</v>
      </c>
      <c r="I24">
        <v>1</v>
      </c>
      <c r="J24">
        <v>63</v>
      </c>
      <c r="K24">
        <v>10</v>
      </c>
      <c r="L24" t="s">
        <v>35</v>
      </c>
      <c r="M24">
        <v>9.5676489209230393</v>
      </c>
      <c r="N24" t="s">
        <v>51</v>
      </c>
      <c r="O24" t="s">
        <v>44</v>
      </c>
      <c r="P24">
        <v>22</v>
      </c>
      <c r="Q24">
        <v>780</v>
      </c>
      <c r="R24">
        <v>28</v>
      </c>
      <c r="S24">
        <v>50.120839612977299</v>
      </c>
      <c r="T24" t="s">
        <v>45</v>
      </c>
      <c r="U24">
        <v>2.5912754732111098</v>
      </c>
      <c r="V24" t="s">
        <v>46</v>
      </c>
      <c r="W24" t="s">
        <v>40</v>
      </c>
      <c r="X24">
        <v>205.57199582694699</v>
      </c>
    </row>
    <row r="25" spans="1:24" x14ac:dyDescent="0.3">
      <c r="A25" t="s">
        <v>56</v>
      </c>
      <c r="B25" t="s">
        <v>76</v>
      </c>
      <c r="C25">
        <v>4.3243411858641601</v>
      </c>
      <c r="D25">
        <v>30</v>
      </c>
      <c r="E25">
        <v>391</v>
      </c>
      <c r="F25">
        <v>8858.3675710114803</v>
      </c>
      <c r="G25" t="s">
        <v>37</v>
      </c>
      <c r="H25">
        <v>84</v>
      </c>
      <c r="I25">
        <v>5</v>
      </c>
      <c r="J25">
        <v>29</v>
      </c>
      <c r="K25">
        <v>7</v>
      </c>
      <c r="L25" t="s">
        <v>35</v>
      </c>
      <c r="M25">
        <v>2.92485760114555</v>
      </c>
      <c r="N25" t="s">
        <v>43</v>
      </c>
      <c r="O25" t="s">
        <v>44</v>
      </c>
      <c r="P25">
        <v>11</v>
      </c>
      <c r="Q25">
        <v>568</v>
      </c>
      <c r="R25">
        <v>29</v>
      </c>
      <c r="S25">
        <v>98.6099572427038</v>
      </c>
      <c r="T25" t="s">
        <v>29</v>
      </c>
      <c r="U25">
        <v>1.3422915627227301</v>
      </c>
      <c r="V25" t="s">
        <v>46</v>
      </c>
      <c r="W25" t="s">
        <v>47</v>
      </c>
      <c r="X25">
        <v>196.329446112412</v>
      </c>
    </row>
    <row r="26" spans="1:24" x14ac:dyDescent="0.3">
      <c r="A26" t="s">
        <v>23</v>
      </c>
      <c r="B26" t="s">
        <v>77</v>
      </c>
      <c r="C26">
        <v>4.1563083593111001</v>
      </c>
      <c r="D26">
        <v>32</v>
      </c>
      <c r="E26">
        <v>209</v>
      </c>
      <c r="F26">
        <v>9049.0778609398894</v>
      </c>
      <c r="G26" t="s">
        <v>54</v>
      </c>
      <c r="H26">
        <v>4</v>
      </c>
      <c r="I26">
        <v>26</v>
      </c>
      <c r="J26">
        <v>2</v>
      </c>
      <c r="K26">
        <v>8</v>
      </c>
      <c r="L26" t="s">
        <v>42</v>
      </c>
      <c r="M26">
        <v>9.7412916892843597</v>
      </c>
      <c r="N26" t="s">
        <v>60</v>
      </c>
      <c r="O26" t="s">
        <v>52</v>
      </c>
      <c r="P26">
        <v>28</v>
      </c>
      <c r="Q26">
        <v>447</v>
      </c>
      <c r="R26">
        <v>3</v>
      </c>
      <c r="S26">
        <v>40.382359702924802</v>
      </c>
      <c r="T26" t="s">
        <v>29</v>
      </c>
      <c r="U26">
        <v>3.69131029262872</v>
      </c>
      <c r="V26" t="s">
        <v>39</v>
      </c>
      <c r="W26" t="s">
        <v>47</v>
      </c>
      <c r="X26">
        <v>758.72477260293795</v>
      </c>
    </row>
    <row r="27" spans="1:24" x14ac:dyDescent="0.3">
      <c r="A27" t="s">
        <v>23</v>
      </c>
      <c r="B27" t="s">
        <v>78</v>
      </c>
      <c r="C27">
        <v>39.629343985092603</v>
      </c>
      <c r="D27">
        <v>73</v>
      </c>
      <c r="E27">
        <v>142</v>
      </c>
      <c r="F27">
        <v>2174.7770543506499</v>
      </c>
      <c r="G27" t="s">
        <v>54</v>
      </c>
      <c r="H27">
        <v>82</v>
      </c>
      <c r="I27">
        <v>11</v>
      </c>
      <c r="J27">
        <v>52</v>
      </c>
      <c r="K27">
        <v>3</v>
      </c>
      <c r="L27" t="s">
        <v>42</v>
      </c>
      <c r="M27">
        <v>2.2310736812817198</v>
      </c>
      <c r="N27" t="s">
        <v>51</v>
      </c>
      <c r="O27" t="s">
        <v>44</v>
      </c>
      <c r="P27">
        <v>19</v>
      </c>
      <c r="Q27">
        <v>934</v>
      </c>
      <c r="R27">
        <v>23</v>
      </c>
      <c r="S27">
        <v>78.280383118415301</v>
      </c>
      <c r="T27" t="s">
        <v>29</v>
      </c>
      <c r="U27">
        <v>3.79723121711418</v>
      </c>
      <c r="V27" t="s">
        <v>30</v>
      </c>
      <c r="W27" t="s">
        <v>31</v>
      </c>
      <c r="X27">
        <v>458.53594573920901</v>
      </c>
    </row>
    <row r="28" spans="1:24" x14ac:dyDescent="0.3">
      <c r="A28" t="s">
        <v>23</v>
      </c>
      <c r="B28" t="s">
        <v>79</v>
      </c>
      <c r="C28">
        <v>97.446946617892806</v>
      </c>
      <c r="D28">
        <v>9</v>
      </c>
      <c r="E28">
        <v>353</v>
      </c>
      <c r="F28">
        <v>3716.49332589403</v>
      </c>
      <c r="G28" t="s">
        <v>54</v>
      </c>
      <c r="H28">
        <v>59</v>
      </c>
      <c r="I28">
        <v>16</v>
      </c>
      <c r="J28">
        <v>48</v>
      </c>
      <c r="K28">
        <v>4</v>
      </c>
      <c r="L28" t="s">
        <v>26</v>
      </c>
      <c r="M28">
        <v>6.5075486210785503</v>
      </c>
      <c r="N28" t="s">
        <v>60</v>
      </c>
      <c r="O28" t="s">
        <v>52</v>
      </c>
      <c r="P28">
        <v>26</v>
      </c>
      <c r="Q28">
        <v>171</v>
      </c>
      <c r="R28">
        <v>4</v>
      </c>
      <c r="S28">
        <v>15.972229757181699</v>
      </c>
      <c r="T28" t="s">
        <v>63</v>
      </c>
      <c r="U28">
        <v>2.1193197367249201</v>
      </c>
      <c r="V28" t="s">
        <v>46</v>
      </c>
      <c r="W28" t="s">
        <v>47</v>
      </c>
      <c r="X28">
        <v>617.86691645837698</v>
      </c>
    </row>
    <row r="29" spans="1:24" x14ac:dyDescent="0.3">
      <c r="A29" t="s">
        <v>56</v>
      </c>
      <c r="B29" t="s">
        <v>80</v>
      </c>
      <c r="C29">
        <v>92.557360812401996</v>
      </c>
      <c r="D29">
        <v>42</v>
      </c>
      <c r="E29">
        <v>352</v>
      </c>
      <c r="F29">
        <v>2686.4572235759802</v>
      </c>
      <c r="G29" t="s">
        <v>37</v>
      </c>
      <c r="H29">
        <v>47</v>
      </c>
      <c r="I29">
        <v>9</v>
      </c>
      <c r="J29">
        <v>62</v>
      </c>
      <c r="K29">
        <v>8</v>
      </c>
      <c r="L29" t="s">
        <v>42</v>
      </c>
      <c r="M29">
        <v>7.4067509529980704</v>
      </c>
      <c r="N29" t="s">
        <v>43</v>
      </c>
      <c r="O29" t="s">
        <v>28</v>
      </c>
      <c r="P29">
        <v>25</v>
      </c>
      <c r="Q29">
        <v>291</v>
      </c>
      <c r="R29">
        <v>4</v>
      </c>
      <c r="S29">
        <v>10.5282450700421</v>
      </c>
      <c r="T29" t="s">
        <v>45</v>
      </c>
      <c r="U29">
        <v>2.8646678378833701</v>
      </c>
      <c r="V29" t="s">
        <v>55</v>
      </c>
      <c r="W29" t="s">
        <v>31</v>
      </c>
      <c r="X29">
        <v>762.45918215568304</v>
      </c>
    </row>
    <row r="30" spans="1:24" x14ac:dyDescent="0.3">
      <c r="A30" t="s">
        <v>56</v>
      </c>
      <c r="B30" t="s">
        <v>81</v>
      </c>
      <c r="C30">
        <v>2.3972747055971402</v>
      </c>
      <c r="D30">
        <v>12</v>
      </c>
      <c r="E30">
        <v>394</v>
      </c>
      <c r="F30">
        <v>6117.3246150839896</v>
      </c>
      <c r="G30" t="s">
        <v>34</v>
      </c>
      <c r="H30">
        <v>48</v>
      </c>
      <c r="I30">
        <v>15</v>
      </c>
      <c r="J30">
        <v>24</v>
      </c>
      <c r="K30">
        <v>4</v>
      </c>
      <c r="L30" t="s">
        <v>26</v>
      </c>
      <c r="M30">
        <v>9.8981405080692202</v>
      </c>
      <c r="N30" t="s">
        <v>38</v>
      </c>
      <c r="O30" t="s">
        <v>28</v>
      </c>
      <c r="P30">
        <v>13</v>
      </c>
      <c r="Q30">
        <v>171</v>
      </c>
      <c r="R30">
        <v>7</v>
      </c>
      <c r="S30">
        <v>59.429381810691503</v>
      </c>
      <c r="T30" t="s">
        <v>45</v>
      </c>
      <c r="U30">
        <v>0.81575707929567198</v>
      </c>
      <c r="V30" t="s">
        <v>39</v>
      </c>
      <c r="W30" t="s">
        <v>47</v>
      </c>
      <c r="X30">
        <v>123.437027511827</v>
      </c>
    </row>
    <row r="31" spans="1:24" x14ac:dyDescent="0.3">
      <c r="A31" t="s">
        <v>56</v>
      </c>
      <c r="B31" t="s">
        <v>82</v>
      </c>
      <c r="C31">
        <v>63.447559185207297</v>
      </c>
      <c r="D31">
        <v>3</v>
      </c>
      <c r="E31">
        <v>253</v>
      </c>
      <c r="F31">
        <v>8318.9031946171708</v>
      </c>
      <c r="G31" t="s">
        <v>34</v>
      </c>
      <c r="H31">
        <v>45</v>
      </c>
      <c r="I31">
        <v>5</v>
      </c>
      <c r="J31">
        <v>67</v>
      </c>
      <c r="K31">
        <v>7</v>
      </c>
      <c r="L31" t="s">
        <v>26</v>
      </c>
      <c r="M31">
        <v>8.1009731453970293</v>
      </c>
      <c r="N31" t="s">
        <v>38</v>
      </c>
      <c r="O31" t="s">
        <v>44</v>
      </c>
      <c r="P31">
        <v>16</v>
      </c>
      <c r="Q31">
        <v>329</v>
      </c>
      <c r="R31">
        <v>7</v>
      </c>
      <c r="S31">
        <v>39.292875586065698</v>
      </c>
      <c r="T31" t="s">
        <v>63</v>
      </c>
      <c r="U31">
        <v>3.8780989365884802</v>
      </c>
      <c r="V31" t="s">
        <v>30</v>
      </c>
      <c r="W31" t="s">
        <v>31</v>
      </c>
      <c r="X31">
        <v>764.93537594070801</v>
      </c>
    </row>
    <row r="32" spans="1:24" x14ac:dyDescent="0.3">
      <c r="A32" t="s">
        <v>23</v>
      </c>
      <c r="B32" t="s">
        <v>83</v>
      </c>
      <c r="C32">
        <v>8.0228592105263896</v>
      </c>
      <c r="D32">
        <v>10</v>
      </c>
      <c r="E32">
        <v>327</v>
      </c>
      <c r="F32">
        <v>2766.3423668660798</v>
      </c>
      <c r="G32" t="s">
        <v>54</v>
      </c>
      <c r="H32">
        <v>60</v>
      </c>
      <c r="I32">
        <v>26</v>
      </c>
      <c r="J32">
        <v>35</v>
      </c>
      <c r="K32">
        <v>7</v>
      </c>
      <c r="L32" t="s">
        <v>26</v>
      </c>
      <c r="M32">
        <v>8.9545283153180097</v>
      </c>
      <c r="N32" t="s">
        <v>51</v>
      </c>
      <c r="O32" t="s">
        <v>44</v>
      </c>
      <c r="P32">
        <v>27</v>
      </c>
      <c r="Q32">
        <v>806</v>
      </c>
      <c r="R32">
        <v>30</v>
      </c>
      <c r="S32">
        <v>51.634893400109299</v>
      </c>
      <c r="T32" t="s">
        <v>29</v>
      </c>
      <c r="U32">
        <v>0.96539470535239302</v>
      </c>
      <c r="V32" t="s">
        <v>30</v>
      </c>
      <c r="W32" t="s">
        <v>40</v>
      </c>
      <c r="X32">
        <v>880.08098824716103</v>
      </c>
    </row>
    <row r="33" spans="1:24" x14ac:dyDescent="0.3">
      <c r="A33" t="s">
        <v>32</v>
      </c>
      <c r="B33" t="s">
        <v>84</v>
      </c>
      <c r="C33">
        <v>50.847393051718697</v>
      </c>
      <c r="D33">
        <v>28</v>
      </c>
      <c r="E33">
        <v>168</v>
      </c>
      <c r="F33">
        <v>9655.1351027193905</v>
      </c>
      <c r="G33" t="s">
        <v>54</v>
      </c>
      <c r="H33">
        <v>6</v>
      </c>
      <c r="I33">
        <v>17</v>
      </c>
      <c r="J33">
        <v>44</v>
      </c>
      <c r="K33">
        <v>4</v>
      </c>
      <c r="L33" t="s">
        <v>26</v>
      </c>
      <c r="M33">
        <v>2.6796609649813998</v>
      </c>
      <c r="N33" t="s">
        <v>27</v>
      </c>
      <c r="O33" t="s">
        <v>61</v>
      </c>
      <c r="P33">
        <v>24</v>
      </c>
      <c r="Q33">
        <v>461</v>
      </c>
      <c r="R33">
        <v>8</v>
      </c>
      <c r="S33">
        <v>60.251145661598002</v>
      </c>
      <c r="T33" t="s">
        <v>29</v>
      </c>
      <c r="U33">
        <v>2.9890000066550702</v>
      </c>
      <c r="V33" t="s">
        <v>46</v>
      </c>
      <c r="W33" t="s">
        <v>40</v>
      </c>
      <c r="X33">
        <v>609.379206618426</v>
      </c>
    </row>
    <row r="34" spans="1:24" x14ac:dyDescent="0.3">
      <c r="A34" t="s">
        <v>32</v>
      </c>
      <c r="B34" t="s">
        <v>85</v>
      </c>
      <c r="C34">
        <v>79.209936015656695</v>
      </c>
      <c r="D34">
        <v>43</v>
      </c>
      <c r="E34">
        <v>781</v>
      </c>
      <c r="F34">
        <v>9571.5504873278096</v>
      </c>
      <c r="G34" t="s">
        <v>37</v>
      </c>
      <c r="H34">
        <v>89</v>
      </c>
      <c r="I34">
        <v>13</v>
      </c>
      <c r="J34">
        <v>64</v>
      </c>
      <c r="K34">
        <v>4</v>
      </c>
      <c r="L34" t="s">
        <v>42</v>
      </c>
      <c r="M34">
        <v>6.5991049012385803</v>
      </c>
      <c r="N34" t="s">
        <v>27</v>
      </c>
      <c r="O34" t="s">
        <v>44</v>
      </c>
      <c r="P34">
        <v>30</v>
      </c>
      <c r="Q34">
        <v>737</v>
      </c>
      <c r="R34">
        <v>7</v>
      </c>
      <c r="S34">
        <v>29.6924671537497</v>
      </c>
      <c r="T34" t="s">
        <v>63</v>
      </c>
      <c r="U34">
        <v>1.94603611938611</v>
      </c>
      <c r="V34" t="s">
        <v>30</v>
      </c>
      <c r="W34" t="s">
        <v>47</v>
      </c>
      <c r="X34">
        <v>761.17390951487698</v>
      </c>
    </row>
    <row r="35" spans="1:24" x14ac:dyDescent="0.3">
      <c r="A35" t="s">
        <v>56</v>
      </c>
      <c r="B35" t="s">
        <v>86</v>
      </c>
      <c r="C35">
        <v>64.795435000155607</v>
      </c>
      <c r="D35">
        <v>63</v>
      </c>
      <c r="E35">
        <v>616</v>
      </c>
      <c r="F35">
        <v>5149.9983504080301</v>
      </c>
      <c r="G35" t="s">
        <v>25</v>
      </c>
      <c r="H35">
        <v>4</v>
      </c>
      <c r="I35">
        <v>17</v>
      </c>
      <c r="J35">
        <v>95</v>
      </c>
      <c r="K35">
        <v>9</v>
      </c>
      <c r="L35" t="s">
        <v>42</v>
      </c>
      <c r="M35">
        <v>4.85827050343664</v>
      </c>
      <c r="N35" t="s">
        <v>43</v>
      </c>
      <c r="O35" t="s">
        <v>61</v>
      </c>
      <c r="P35">
        <v>1</v>
      </c>
      <c r="Q35">
        <v>251</v>
      </c>
      <c r="R35">
        <v>23</v>
      </c>
      <c r="S35">
        <v>23.853427512896101</v>
      </c>
      <c r="T35" t="s">
        <v>45</v>
      </c>
      <c r="U35">
        <v>3.54104601225092</v>
      </c>
      <c r="V35" t="s">
        <v>55</v>
      </c>
      <c r="W35" t="s">
        <v>47</v>
      </c>
      <c r="X35">
        <v>371.25529551987103</v>
      </c>
    </row>
    <row r="36" spans="1:24" x14ac:dyDescent="0.3">
      <c r="A36" t="s">
        <v>32</v>
      </c>
      <c r="B36" t="s">
        <v>87</v>
      </c>
      <c r="C36">
        <v>37.467592329842397</v>
      </c>
      <c r="D36">
        <v>96</v>
      </c>
      <c r="E36">
        <v>602</v>
      </c>
      <c r="F36">
        <v>9061.7108955077201</v>
      </c>
      <c r="G36" t="s">
        <v>37</v>
      </c>
      <c r="H36">
        <v>1</v>
      </c>
      <c r="I36">
        <v>26</v>
      </c>
      <c r="J36">
        <v>21</v>
      </c>
      <c r="K36">
        <v>7</v>
      </c>
      <c r="L36" t="s">
        <v>35</v>
      </c>
      <c r="M36">
        <v>1.0194875708221101</v>
      </c>
      <c r="N36" t="s">
        <v>38</v>
      </c>
      <c r="O36" t="s">
        <v>61</v>
      </c>
      <c r="P36">
        <v>4</v>
      </c>
      <c r="Q36">
        <v>452</v>
      </c>
      <c r="R36">
        <v>10</v>
      </c>
      <c r="S36">
        <v>10.754272815029299</v>
      </c>
      <c r="T36" t="s">
        <v>63</v>
      </c>
      <c r="U36">
        <v>0.64660455937205397</v>
      </c>
      <c r="V36" t="s">
        <v>30</v>
      </c>
      <c r="W36" t="s">
        <v>31</v>
      </c>
      <c r="X36">
        <v>510.35800043352299</v>
      </c>
    </row>
    <row r="37" spans="1:24" x14ac:dyDescent="0.3">
      <c r="A37" t="s">
        <v>56</v>
      </c>
      <c r="B37" t="s">
        <v>88</v>
      </c>
      <c r="C37">
        <v>84.957786816350406</v>
      </c>
      <c r="D37">
        <v>11</v>
      </c>
      <c r="E37">
        <v>449</v>
      </c>
      <c r="F37">
        <v>6541.3293448024597</v>
      </c>
      <c r="G37" t="s">
        <v>34</v>
      </c>
      <c r="H37">
        <v>42</v>
      </c>
      <c r="I37">
        <v>27</v>
      </c>
      <c r="J37">
        <v>85</v>
      </c>
      <c r="K37">
        <v>8</v>
      </c>
      <c r="L37" t="s">
        <v>42</v>
      </c>
      <c r="M37">
        <v>5.2881899903273997</v>
      </c>
      <c r="N37" t="s">
        <v>38</v>
      </c>
      <c r="O37" t="s">
        <v>49</v>
      </c>
      <c r="P37">
        <v>3</v>
      </c>
      <c r="Q37">
        <v>367</v>
      </c>
      <c r="R37">
        <v>2</v>
      </c>
      <c r="S37">
        <v>58.004787044743701</v>
      </c>
      <c r="T37" t="s">
        <v>63</v>
      </c>
      <c r="U37">
        <v>0.54115409806058101</v>
      </c>
      <c r="V37" t="s">
        <v>55</v>
      </c>
      <c r="W37" t="s">
        <v>40</v>
      </c>
      <c r="X37">
        <v>553.42047123035502</v>
      </c>
    </row>
    <row r="38" spans="1:24" x14ac:dyDescent="0.3">
      <c r="A38" t="s">
        <v>32</v>
      </c>
      <c r="B38" t="s">
        <v>89</v>
      </c>
      <c r="C38">
        <v>9.81300257875405</v>
      </c>
      <c r="D38">
        <v>34</v>
      </c>
      <c r="E38">
        <v>963</v>
      </c>
      <c r="F38">
        <v>7573.4024578487297</v>
      </c>
      <c r="G38" t="s">
        <v>34</v>
      </c>
      <c r="H38">
        <v>18</v>
      </c>
      <c r="I38">
        <v>23</v>
      </c>
      <c r="J38">
        <v>28</v>
      </c>
      <c r="K38">
        <v>3</v>
      </c>
      <c r="L38" t="s">
        <v>26</v>
      </c>
      <c r="M38">
        <v>2.1079512671590801</v>
      </c>
      <c r="N38" t="s">
        <v>60</v>
      </c>
      <c r="O38" t="s">
        <v>49</v>
      </c>
      <c r="P38">
        <v>26</v>
      </c>
      <c r="Q38">
        <v>671</v>
      </c>
      <c r="R38">
        <v>19</v>
      </c>
      <c r="S38">
        <v>45.531364237162101</v>
      </c>
      <c r="T38" t="s">
        <v>45</v>
      </c>
      <c r="U38">
        <v>3.8055333792433501</v>
      </c>
      <c r="V38" t="s">
        <v>39</v>
      </c>
      <c r="W38" t="s">
        <v>40</v>
      </c>
      <c r="X38">
        <v>403.80897424817999</v>
      </c>
    </row>
    <row r="39" spans="1:24" x14ac:dyDescent="0.3">
      <c r="A39" t="s">
        <v>32</v>
      </c>
      <c r="B39" t="s">
        <v>90</v>
      </c>
      <c r="C39">
        <v>23.3998447526143</v>
      </c>
      <c r="D39">
        <v>5</v>
      </c>
      <c r="E39">
        <v>963</v>
      </c>
      <c r="F39">
        <v>2438.3399304700201</v>
      </c>
      <c r="G39" t="s">
        <v>34</v>
      </c>
      <c r="H39">
        <v>25</v>
      </c>
      <c r="I39">
        <v>8</v>
      </c>
      <c r="J39">
        <v>21</v>
      </c>
      <c r="K39">
        <v>9</v>
      </c>
      <c r="L39" t="s">
        <v>35</v>
      </c>
      <c r="M39">
        <v>1.53265527359043</v>
      </c>
      <c r="N39" t="s">
        <v>27</v>
      </c>
      <c r="O39" t="s">
        <v>44</v>
      </c>
      <c r="P39">
        <v>24</v>
      </c>
      <c r="Q39">
        <v>867</v>
      </c>
      <c r="R39">
        <v>15</v>
      </c>
      <c r="S39">
        <v>34.343277465075303</v>
      </c>
      <c r="T39" t="s">
        <v>29</v>
      </c>
      <c r="U39">
        <v>2.61028808484811</v>
      </c>
      <c r="V39" t="s">
        <v>55</v>
      </c>
      <c r="W39" t="s">
        <v>47</v>
      </c>
      <c r="X39">
        <v>183.932968043594</v>
      </c>
    </row>
    <row r="40" spans="1:24" x14ac:dyDescent="0.3">
      <c r="A40" t="s">
        <v>56</v>
      </c>
      <c r="B40" t="s">
        <v>91</v>
      </c>
      <c r="C40">
        <v>52.075930682707799</v>
      </c>
      <c r="D40">
        <v>75</v>
      </c>
      <c r="E40">
        <v>705</v>
      </c>
      <c r="F40">
        <v>9692.3180402184298</v>
      </c>
      <c r="G40" t="s">
        <v>25</v>
      </c>
      <c r="H40">
        <v>69</v>
      </c>
      <c r="I40">
        <v>1</v>
      </c>
      <c r="J40">
        <v>88</v>
      </c>
      <c r="K40">
        <v>5</v>
      </c>
      <c r="L40" t="s">
        <v>26</v>
      </c>
      <c r="M40">
        <v>9.2359314372492207</v>
      </c>
      <c r="N40" t="s">
        <v>43</v>
      </c>
      <c r="O40" t="s">
        <v>28</v>
      </c>
      <c r="P40">
        <v>10</v>
      </c>
      <c r="Q40">
        <v>841</v>
      </c>
      <c r="R40">
        <v>12</v>
      </c>
      <c r="S40">
        <v>5.9306936455283097</v>
      </c>
      <c r="T40" t="s">
        <v>29</v>
      </c>
      <c r="U40">
        <v>0.613326899164507</v>
      </c>
      <c r="V40" t="s">
        <v>39</v>
      </c>
      <c r="W40" t="s">
        <v>31</v>
      </c>
      <c r="X40">
        <v>339.67286994860598</v>
      </c>
    </row>
    <row r="41" spans="1:24" x14ac:dyDescent="0.3">
      <c r="A41" t="s">
        <v>32</v>
      </c>
      <c r="B41" t="s">
        <v>92</v>
      </c>
      <c r="C41">
        <v>19.127477265823199</v>
      </c>
      <c r="D41">
        <v>26</v>
      </c>
      <c r="E41">
        <v>176</v>
      </c>
      <c r="F41">
        <v>1912.4656631007599</v>
      </c>
      <c r="G41" t="s">
        <v>34</v>
      </c>
      <c r="H41">
        <v>78</v>
      </c>
      <c r="I41">
        <v>29</v>
      </c>
      <c r="J41">
        <v>34</v>
      </c>
      <c r="K41">
        <v>3</v>
      </c>
      <c r="L41" t="s">
        <v>35</v>
      </c>
      <c r="M41">
        <v>5.5625037788303802</v>
      </c>
      <c r="N41" t="s">
        <v>60</v>
      </c>
      <c r="O41" t="s">
        <v>44</v>
      </c>
      <c r="P41">
        <v>30</v>
      </c>
      <c r="Q41">
        <v>791</v>
      </c>
      <c r="R41">
        <v>6</v>
      </c>
      <c r="S41">
        <v>9.0058074287816403</v>
      </c>
      <c r="T41" t="s">
        <v>45</v>
      </c>
      <c r="U41">
        <v>1.4519722039968099</v>
      </c>
      <c r="V41" t="s">
        <v>39</v>
      </c>
      <c r="W41" t="s">
        <v>31</v>
      </c>
      <c r="X41">
        <v>653.67299455203295</v>
      </c>
    </row>
    <row r="42" spans="1:24" x14ac:dyDescent="0.3">
      <c r="A42" t="s">
        <v>32</v>
      </c>
      <c r="B42" t="s">
        <v>93</v>
      </c>
      <c r="C42">
        <v>80.541424170940303</v>
      </c>
      <c r="D42">
        <v>97</v>
      </c>
      <c r="E42">
        <v>933</v>
      </c>
      <c r="F42">
        <v>5724.9593504562599</v>
      </c>
      <c r="G42" t="s">
        <v>34</v>
      </c>
      <c r="H42">
        <v>90</v>
      </c>
      <c r="I42">
        <v>20</v>
      </c>
      <c r="J42">
        <v>39</v>
      </c>
      <c r="K42">
        <v>8</v>
      </c>
      <c r="L42" t="s">
        <v>42</v>
      </c>
      <c r="M42">
        <v>7.2295951397364702</v>
      </c>
      <c r="N42" t="s">
        <v>38</v>
      </c>
      <c r="O42" t="s">
        <v>44</v>
      </c>
      <c r="P42">
        <v>18</v>
      </c>
      <c r="Q42">
        <v>793</v>
      </c>
      <c r="R42">
        <v>1</v>
      </c>
      <c r="S42">
        <v>88.179407104217404</v>
      </c>
      <c r="T42" t="s">
        <v>29</v>
      </c>
      <c r="U42">
        <v>4.2132694305865597</v>
      </c>
      <c r="V42" t="s">
        <v>30</v>
      </c>
      <c r="W42" t="s">
        <v>47</v>
      </c>
      <c r="X42">
        <v>529.80872398069096</v>
      </c>
    </row>
    <row r="43" spans="1:24" x14ac:dyDescent="0.3">
      <c r="A43" t="s">
        <v>32</v>
      </c>
      <c r="B43" t="s">
        <v>94</v>
      </c>
      <c r="C43">
        <v>99.113291615317095</v>
      </c>
      <c r="D43">
        <v>35</v>
      </c>
      <c r="E43">
        <v>556</v>
      </c>
      <c r="F43">
        <v>5521.2052590109697</v>
      </c>
      <c r="G43" t="s">
        <v>34</v>
      </c>
      <c r="H43">
        <v>64</v>
      </c>
      <c r="I43">
        <v>19</v>
      </c>
      <c r="J43">
        <v>38</v>
      </c>
      <c r="K43">
        <v>8</v>
      </c>
      <c r="L43" t="s">
        <v>26</v>
      </c>
      <c r="M43">
        <v>5.7732637437666501</v>
      </c>
      <c r="N43" t="s">
        <v>51</v>
      </c>
      <c r="O43" t="s">
        <v>61</v>
      </c>
      <c r="P43">
        <v>18</v>
      </c>
      <c r="Q43">
        <v>892</v>
      </c>
      <c r="R43">
        <v>7</v>
      </c>
      <c r="S43">
        <v>95.332064548772493</v>
      </c>
      <c r="T43" t="s">
        <v>45</v>
      </c>
      <c r="U43">
        <v>4.5302262398259602E-2</v>
      </c>
      <c r="V43" t="s">
        <v>55</v>
      </c>
      <c r="W43" t="s">
        <v>47</v>
      </c>
      <c r="X43">
        <v>275.52437113130901</v>
      </c>
    </row>
    <row r="44" spans="1:24" x14ac:dyDescent="0.3">
      <c r="A44" t="s">
        <v>32</v>
      </c>
      <c r="B44" t="s">
        <v>95</v>
      </c>
      <c r="C44">
        <v>46.529167614516702</v>
      </c>
      <c r="D44">
        <v>98</v>
      </c>
      <c r="E44">
        <v>155</v>
      </c>
      <c r="F44">
        <v>1839.60942585676</v>
      </c>
      <c r="G44" t="s">
        <v>34</v>
      </c>
      <c r="H44">
        <v>22</v>
      </c>
      <c r="I44">
        <v>27</v>
      </c>
      <c r="J44">
        <v>57</v>
      </c>
      <c r="K44">
        <v>4</v>
      </c>
      <c r="L44" t="s">
        <v>42</v>
      </c>
      <c r="M44">
        <v>7.5262483268515004</v>
      </c>
      <c r="N44" t="s">
        <v>43</v>
      </c>
      <c r="O44" t="s">
        <v>52</v>
      </c>
      <c r="P44">
        <v>26</v>
      </c>
      <c r="Q44">
        <v>179</v>
      </c>
      <c r="R44">
        <v>7</v>
      </c>
      <c r="S44">
        <v>96.422820639571796</v>
      </c>
      <c r="T44" t="s">
        <v>45</v>
      </c>
      <c r="U44">
        <v>4.9392552886209398</v>
      </c>
      <c r="V44" t="s">
        <v>30</v>
      </c>
      <c r="W44" t="s">
        <v>47</v>
      </c>
      <c r="X44">
        <v>635.65712050199102</v>
      </c>
    </row>
    <row r="45" spans="1:24" x14ac:dyDescent="0.3">
      <c r="A45" t="s">
        <v>23</v>
      </c>
      <c r="B45" t="s">
        <v>96</v>
      </c>
      <c r="C45">
        <v>11.7432717763092</v>
      </c>
      <c r="D45">
        <v>6</v>
      </c>
      <c r="E45">
        <v>598</v>
      </c>
      <c r="F45">
        <v>5737.4255991190203</v>
      </c>
      <c r="G45" t="s">
        <v>37</v>
      </c>
      <c r="H45">
        <v>36</v>
      </c>
      <c r="I45">
        <v>29</v>
      </c>
      <c r="J45">
        <v>85</v>
      </c>
      <c r="K45">
        <v>9</v>
      </c>
      <c r="L45" t="s">
        <v>26</v>
      </c>
      <c r="M45">
        <v>3.6940212683884499</v>
      </c>
      <c r="N45" t="s">
        <v>43</v>
      </c>
      <c r="O45" t="s">
        <v>28</v>
      </c>
      <c r="P45">
        <v>1</v>
      </c>
      <c r="Q45">
        <v>206</v>
      </c>
      <c r="R45">
        <v>23</v>
      </c>
      <c r="S45">
        <v>26.2773659573324</v>
      </c>
      <c r="T45" t="s">
        <v>29</v>
      </c>
      <c r="U45">
        <v>0.37230476798509698</v>
      </c>
      <c r="V45" t="s">
        <v>39</v>
      </c>
      <c r="W45" t="s">
        <v>47</v>
      </c>
      <c r="X45">
        <v>716.04411975933999</v>
      </c>
    </row>
    <row r="46" spans="1:24" x14ac:dyDescent="0.3">
      <c r="A46" t="s">
        <v>56</v>
      </c>
      <c r="B46" t="s">
        <v>97</v>
      </c>
      <c r="C46">
        <v>51.355790913110297</v>
      </c>
      <c r="D46">
        <v>34</v>
      </c>
      <c r="E46">
        <v>919</v>
      </c>
      <c r="F46">
        <v>7152.28604943551</v>
      </c>
      <c r="G46" t="s">
        <v>34</v>
      </c>
      <c r="H46">
        <v>13</v>
      </c>
      <c r="I46">
        <v>19</v>
      </c>
      <c r="J46">
        <v>72</v>
      </c>
      <c r="K46">
        <v>6</v>
      </c>
      <c r="L46" t="s">
        <v>42</v>
      </c>
      <c r="M46">
        <v>7.5774496573766896</v>
      </c>
      <c r="N46" t="s">
        <v>60</v>
      </c>
      <c r="O46" t="s">
        <v>49</v>
      </c>
      <c r="P46">
        <v>7</v>
      </c>
      <c r="Q46">
        <v>834</v>
      </c>
      <c r="R46">
        <v>18</v>
      </c>
      <c r="S46">
        <v>22.554106620887701</v>
      </c>
      <c r="T46" t="s">
        <v>45</v>
      </c>
      <c r="U46">
        <v>2.9626263204548802</v>
      </c>
      <c r="V46" t="s">
        <v>46</v>
      </c>
      <c r="W46" t="s">
        <v>47</v>
      </c>
      <c r="X46">
        <v>610.45326961922694</v>
      </c>
    </row>
    <row r="47" spans="1:24" x14ac:dyDescent="0.3">
      <c r="A47" t="s">
        <v>23</v>
      </c>
      <c r="B47" t="s">
        <v>98</v>
      </c>
      <c r="C47">
        <v>33.784138033065503</v>
      </c>
      <c r="D47">
        <v>1</v>
      </c>
      <c r="E47">
        <v>24</v>
      </c>
      <c r="F47">
        <v>5267.9568075105199</v>
      </c>
      <c r="G47" t="s">
        <v>54</v>
      </c>
      <c r="H47">
        <v>93</v>
      </c>
      <c r="I47">
        <v>7</v>
      </c>
      <c r="J47">
        <v>52</v>
      </c>
      <c r="K47">
        <v>6</v>
      </c>
      <c r="L47" t="s">
        <v>26</v>
      </c>
      <c r="M47">
        <v>5.2151550087119096</v>
      </c>
      <c r="N47" t="s">
        <v>60</v>
      </c>
      <c r="O47" t="s">
        <v>61</v>
      </c>
      <c r="P47">
        <v>25</v>
      </c>
      <c r="Q47">
        <v>794</v>
      </c>
      <c r="R47">
        <v>25</v>
      </c>
      <c r="S47">
        <v>66.312544439991598</v>
      </c>
      <c r="T47" t="s">
        <v>63</v>
      </c>
      <c r="U47">
        <v>3.2196046120841002</v>
      </c>
      <c r="V47" t="s">
        <v>46</v>
      </c>
      <c r="W47" t="s">
        <v>47</v>
      </c>
      <c r="X47">
        <v>495.30569702847299</v>
      </c>
    </row>
    <row r="48" spans="1:24" x14ac:dyDescent="0.3">
      <c r="A48" t="s">
        <v>23</v>
      </c>
      <c r="B48" t="s">
        <v>99</v>
      </c>
      <c r="C48">
        <v>27.082207199888899</v>
      </c>
      <c r="D48">
        <v>75</v>
      </c>
      <c r="E48">
        <v>859</v>
      </c>
      <c r="F48">
        <v>2556.7673606335902</v>
      </c>
      <c r="G48" t="s">
        <v>25</v>
      </c>
      <c r="H48">
        <v>92</v>
      </c>
      <c r="I48">
        <v>29</v>
      </c>
      <c r="J48">
        <v>6</v>
      </c>
      <c r="K48">
        <v>8</v>
      </c>
      <c r="L48" t="s">
        <v>26</v>
      </c>
      <c r="M48">
        <v>4.0709558370840799</v>
      </c>
      <c r="N48" t="s">
        <v>27</v>
      </c>
      <c r="O48" t="s">
        <v>61</v>
      </c>
      <c r="P48">
        <v>18</v>
      </c>
      <c r="Q48">
        <v>870</v>
      </c>
      <c r="R48">
        <v>23</v>
      </c>
      <c r="S48">
        <v>77.322353211051606</v>
      </c>
      <c r="T48" t="s">
        <v>29</v>
      </c>
      <c r="U48">
        <v>3.6486105925361998</v>
      </c>
      <c r="V48" t="s">
        <v>30</v>
      </c>
      <c r="W48" t="s">
        <v>31</v>
      </c>
      <c r="X48">
        <v>380.43593711196399</v>
      </c>
    </row>
    <row r="49" spans="1:24" x14ac:dyDescent="0.3">
      <c r="A49" t="s">
        <v>32</v>
      </c>
      <c r="B49" t="s">
        <v>100</v>
      </c>
      <c r="C49">
        <v>95.712135880936003</v>
      </c>
      <c r="D49">
        <v>93</v>
      </c>
      <c r="E49">
        <v>910</v>
      </c>
      <c r="F49">
        <v>7089.4742499341801</v>
      </c>
      <c r="G49" t="s">
        <v>54</v>
      </c>
      <c r="H49">
        <v>4</v>
      </c>
      <c r="I49">
        <v>15</v>
      </c>
      <c r="J49">
        <v>51</v>
      </c>
      <c r="K49">
        <v>9</v>
      </c>
      <c r="L49" t="s">
        <v>26</v>
      </c>
      <c r="M49">
        <v>8.9787507559499709</v>
      </c>
      <c r="N49" t="s">
        <v>38</v>
      </c>
      <c r="O49" t="s">
        <v>44</v>
      </c>
      <c r="P49">
        <v>10</v>
      </c>
      <c r="Q49">
        <v>964</v>
      </c>
      <c r="R49">
        <v>20</v>
      </c>
      <c r="S49">
        <v>19.7129929112936</v>
      </c>
      <c r="T49" t="s">
        <v>29</v>
      </c>
      <c r="U49">
        <v>0.38057358671321301</v>
      </c>
      <c r="V49" t="s">
        <v>46</v>
      </c>
      <c r="W49" t="s">
        <v>47</v>
      </c>
      <c r="X49">
        <v>581.60235505058597</v>
      </c>
    </row>
    <row r="50" spans="1:24" x14ac:dyDescent="0.3">
      <c r="A50" t="s">
        <v>23</v>
      </c>
      <c r="B50" t="s">
        <v>101</v>
      </c>
      <c r="C50">
        <v>76.035544426891704</v>
      </c>
      <c r="D50">
        <v>28</v>
      </c>
      <c r="E50">
        <v>29</v>
      </c>
      <c r="F50">
        <v>7397.0710045871801</v>
      </c>
      <c r="G50" t="s">
        <v>25</v>
      </c>
      <c r="H50">
        <v>30</v>
      </c>
      <c r="I50">
        <v>16</v>
      </c>
      <c r="J50">
        <v>9</v>
      </c>
      <c r="K50">
        <v>3</v>
      </c>
      <c r="L50" t="s">
        <v>42</v>
      </c>
      <c r="M50">
        <v>7.0958331565551296</v>
      </c>
      <c r="N50" t="s">
        <v>60</v>
      </c>
      <c r="O50" t="s">
        <v>28</v>
      </c>
      <c r="P50">
        <v>9</v>
      </c>
      <c r="Q50">
        <v>109</v>
      </c>
      <c r="R50">
        <v>18</v>
      </c>
      <c r="S50">
        <v>23.126363582464698</v>
      </c>
      <c r="T50" t="s">
        <v>45</v>
      </c>
      <c r="U50">
        <v>1.6981125407144</v>
      </c>
      <c r="V50" t="s">
        <v>46</v>
      </c>
      <c r="W50" t="s">
        <v>31</v>
      </c>
      <c r="X50">
        <v>768.65191395437</v>
      </c>
    </row>
    <row r="51" spans="1:24" x14ac:dyDescent="0.3">
      <c r="A51" t="s">
        <v>56</v>
      </c>
      <c r="B51" t="s">
        <v>102</v>
      </c>
      <c r="C51">
        <v>78.897913205639995</v>
      </c>
      <c r="D51">
        <v>19</v>
      </c>
      <c r="E51">
        <v>99</v>
      </c>
      <c r="F51">
        <v>8001.6132065190004</v>
      </c>
      <c r="G51" t="s">
        <v>37</v>
      </c>
      <c r="H51">
        <v>97</v>
      </c>
      <c r="I51">
        <v>24</v>
      </c>
      <c r="J51">
        <v>9</v>
      </c>
      <c r="K51">
        <v>6</v>
      </c>
      <c r="L51" t="s">
        <v>42</v>
      </c>
      <c r="M51">
        <v>2.5056210329009101</v>
      </c>
      <c r="N51" t="s">
        <v>43</v>
      </c>
      <c r="O51" t="s">
        <v>49</v>
      </c>
      <c r="P51">
        <v>28</v>
      </c>
      <c r="Q51">
        <v>177</v>
      </c>
      <c r="R51">
        <v>28</v>
      </c>
      <c r="S51">
        <v>14.1478154439792</v>
      </c>
      <c r="T51" t="s">
        <v>63</v>
      </c>
      <c r="U51">
        <v>2.8258139854001301</v>
      </c>
      <c r="V51" t="s">
        <v>46</v>
      </c>
      <c r="W51" t="s">
        <v>47</v>
      </c>
      <c r="X51">
        <v>336.89016851997701</v>
      </c>
    </row>
    <row r="52" spans="1:24" x14ac:dyDescent="0.3">
      <c r="A52" t="s">
        <v>56</v>
      </c>
      <c r="B52" t="s">
        <v>103</v>
      </c>
      <c r="C52">
        <v>14.203484264803</v>
      </c>
      <c r="D52">
        <v>91</v>
      </c>
      <c r="E52">
        <v>633</v>
      </c>
      <c r="F52">
        <v>5910.8853896688897</v>
      </c>
      <c r="G52" t="s">
        <v>34</v>
      </c>
      <c r="H52">
        <v>31</v>
      </c>
      <c r="I52">
        <v>23</v>
      </c>
      <c r="J52">
        <v>82</v>
      </c>
      <c r="K52">
        <v>10</v>
      </c>
      <c r="L52" t="s">
        <v>35</v>
      </c>
      <c r="M52">
        <v>6.2478609149759903</v>
      </c>
      <c r="N52" t="s">
        <v>60</v>
      </c>
      <c r="O52" t="s">
        <v>49</v>
      </c>
      <c r="P52">
        <v>20</v>
      </c>
      <c r="Q52">
        <v>306</v>
      </c>
      <c r="R52">
        <v>21</v>
      </c>
      <c r="S52">
        <v>45.178757924634503</v>
      </c>
      <c r="T52" t="s">
        <v>45</v>
      </c>
      <c r="U52">
        <v>4.7548008046711798</v>
      </c>
      <c r="V52" t="s">
        <v>46</v>
      </c>
      <c r="W52" t="s">
        <v>31</v>
      </c>
      <c r="X52">
        <v>496.24865029194001</v>
      </c>
    </row>
    <row r="53" spans="1:24" x14ac:dyDescent="0.3">
      <c r="A53" t="s">
        <v>23</v>
      </c>
      <c r="B53" t="s">
        <v>104</v>
      </c>
      <c r="C53">
        <v>26.700760972461701</v>
      </c>
      <c r="D53">
        <v>61</v>
      </c>
      <c r="E53">
        <v>154</v>
      </c>
      <c r="F53">
        <v>9866.4654579796897</v>
      </c>
      <c r="G53" t="s">
        <v>54</v>
      </c>
      <c r="H53">
        <v>100</v>
      </c>
      <c r="I53">
        <v>4</v>
      </c>
      <c r="J53">
        <v>52</v>
      </c>
      <c r="K53">
        <v>1</v>
      </c>
      <c r="L53" t="s">
        <v>35</v>
      </c>
      <c r="M53">
        <v>4.78300055794766</v>
      </c>
      <c r="N53" t="s">
        <v>43</v>
      </c>
      <c r="O53" t="s">
        <v>52</v>
      </c>
      <c r="P53">
        <v>18</v>
      </c>
      <c r="Q53">
        <v>673</v>
      </c>
      <c r="R53">
        <v>28</v>
      </c>
      <c r="S53">
        <v>14.190328344569901</v>
      </c>
      <c r="T53" t="s">
        <v>29</v>
      </c>
      <c r="U53">
        <v>1.77295117208355</v>
      </c>
      <c r="V53" t="s">
        <v>30</v>
      </c>
      <c r="W53" t="s">
        <v>47</v>
      </c>
      <c r="X53">
        <v>694.98231757944495</v>
      </c>
    </row>
    <row r="54" spans="1:24" x14ac:dyDescent="0.3">
      <c r="A54" t="s">
        <v>32</v>
      </c>
      <c r="B54" t="s">
        <v>105</v>
      </c>
      <c r="C54">
        <v>98.031829656465007</v>
      </c>
      <c r="D54">
        <v>1</v>
      </c>
      <c r="E54">
        <v>820</v>
      </c>
      <c r="F54">
        <v>9435.7626089121295</v>
      </c>
      <c r="G54" t="s">
        <v>54</v>
      </c>
      <c r="H54">
        <v>64</v>
      </c>
      <c r="I54">
        <v>11</v>
      </c>
      <c r="J54">
        <v>11</v>
      </c>
      <c r="K54">
        <v>1</v>
      </c>
      <c r="L54" t="s">
        <v>26</v>
      </c>
      <c r="M54">
        <v>8.6310521797689397</v>
      </c>
      <c r="N54" t="s">
        <v>38</v>
      </c>
      <c r="O54" t="s">
        <v>28</v>
      </c>
      <c r="P54">
        <v>10</v>
      </c>
      <c r="Q54">
        <v>727</v>
      </c>
      <c r="R54">
        <v>27</v>
      </c>
      <c r="S54">
        <v>9.1668491485971497</v>
      </c>
      <c r="T54" t="s">
        <v>29</v>
      </c>
      <c r="U54">
        <v>2.1224716191438202</v>
      </c>
      <c r="V54" t="s">
        <v>39</v>
      </c>
      <c r="W54" t="s">
        <v>40</v>
      </c>
      <c r="X54">
        <v>602.89849883838303</v>
      </c>
    </row>
    <row r="55" spans="1:24" x14ac:dyDescent="0.3">
      <c r="A55" t="s">
        <v>32</v>
      </c>
      <c r="B55" t="s">
        <v>106</v>
      </c>
      <c r="C55">
        <v>30.3414707112142</v>
      </c>
      <c r="D55">
        <v>93</v>
      </c>
      <c r="E55">
        <v>242</v>
      </c>
      <c r="F55">
        <v>8232.3348294258194</v>
      </c>
      <c r="G55" t="s">
        <v>54</v>
      </c>
      <c r="H55">
        <v>96</v>
      </c>
      <c r="I55">
        <v>25</v>
      </c>
      <c r="J55">
        <v>54</v>
      </c>
      <c r="K55">
        <v>3</v>
      </c>
      <c r="L55" t="s">
        <v>26</v>
      </c>
      <c r="M55">
        <v>1.0134865660958901</v>
      </c>
      <c r="N55" t="s">
        <v>38</v>
      </c>
      <c r="O55" t="s">
        <v>49</v>
      </c>
      <c r="P55">
        <v>1</v>
      </c>
      <c r="Q55">
        <v>631</v>
      </c>
      <c r="R55">
        <v>17</v>
      </c>
      <c r="S55">
        <v>83.344058991677898</v>
      </c>
      <c r="T55" t="s">
        <v>29</v>
      </c>
      <c r="U55">
        <v>1.41034757607602</v>
      </c>
      <c r="V55" t="s">
        <v>39</v>
      </c>
      <c r="W55" t="s">
        <v>31</v>
      </c>
      <c r="X55">
        <v>750.73784066827</v>
      </c>
    </row>
    <row r="56" spans="1:24" x14ac:dyDescent="0.3">
      <c r="A56" t="s">
        <v>23</v>
      </c>
      <c r="B56" t="s">
        <v>107</v>
      </c>
      <c r="C56">
        <v>31.1462431602408</v>
      </c>
      <c r="D56">
        <v>11</v>
      </c>
      <c r="E56">
        <v>622</v>
      </c>
      <c r="F56">
        <v>6088.0214799408504</v>
      </c>
      <c r="G56" t="s">
        <v>25</v>
      </c>
      <c r="H56">
        <v>33</v>
      </c>
      <c r="I56">
        <v>22</v>
      </c>
      <c r="J56">
        <v>61</v>
      </c>
      <c r="K56">
        <v>3</v>
      </c>
      <c r="L56" t="s">
        <v>26</v>
      </c>
      <c r="M56">
        <v>4.3051034712876302</v>
      </c>
      <c r="N56" t="s">
        <v>38</v>
      </c>
      <c r="O56" t="s">
        <v>44</v>
      </c>
      <c r="P56">
        <v>26</v>
      </c>
      <c r="Q56">
        <v>497</v>
      </c>
      <c r="R56">
        <v>29</v>
      </c>
      <c r="S56">
        <v>30.186023375822501</v>
      </c>
      <c r="T56" t="s">
        <v>63</v>
      </c>
      <c r="U56">
        <v>2.4787719755397402</v>
      </c>
      <c r="V56" t="s">
        <v>30</v>
      </c>
      <c r="W56" t="s">
        <v>31</v>
      </c>
      <c r="X56">
        <v>814.06999658218695</v>
      </c>
    </row>
    <row r="57" spans="1:24" x14ac:dyDescent="0.3">
      <c r="A57" t="s">
        <v>23</v>
      </c>
      <c r="B57" t="s">
        <v>108</v>
      </c>
      <c r="C57">
        <v>79.855058340789398</v>
      </c>
      <c r="D57">
        <v>16</v>
      </c>
      <c r="E57">
        <v>701</v>
      </c>
      <c r="F57">
        <v>2925.6751703038099</v>
      </c>
      <c r="G57" t="s">
        <v>54</v>
      </c>
      <c r="H57">
        <v>97</v>
      </c>
      <c r="I57">
        <v>11</v>
      </c>
      <c r="J57">
        <v>11</v>
      </c>
      <c r="K57">
        <v>5</v>
      </c>
      <c r="L57" t="s">
        <v>35</v>
      </c>
      <c r="M57">
        <v>5.0143649550309002</v>
      </c>
      <c r="N57" t="s">
        <v>60</v>
      </c>
      <c r="O57" t="s">
        <v>49</v>
      </c>
      <c r="P57">
        <v>27</v>
      </c>
      <c r="Q57">
        <v>918</v>
      </c>
      <c r="R57">
        <v>5</v>
      </c>
      <c r="S57">
        <v>30.323545256616502</v>
      </c>
      <c r="T57" t="s">
        <v>45</v>
      </c>
      <c r="U57">
        <v>4.5489196593963799</v>
      </c>
      <c r="V57" t="s">
        <v>55</v>
      </c>
      <c r="W57" t="s">
        <v>31</v>
      </c>
      <c r="X57">
        <v>323.01292795247798</v>
      </c>
    </row>
    <row r="58" spans="1:24" x14ac:dyDescent="0.3">
      <c r="A58" t="s">
        <v>32</v>
      </c>
      <c r="B58" t="s">
        <v>109</v>
      </c>
      <c r="C58">
        <v>20.9863860370433</v>
      </c>
      <c r="D58">
        <v>90</v>
      </c>
      <c r="E58">
        <v>93</v>
      </c>
      <c r="F58">
        <v>4767.0204843441297</v>
      </c>
      <c r="G58" t="s">
        <v>25</v>
      </c>
      <c r="H58">
        <v>25</v>
      </c>
      <c r="I58">
        <v>23</v>
      </c>
      <c r="J58">
        <v>83</v>
      </c>
      <c r="K58">
        <v>5</v>
      </c>
      <c r="L58" t="s">
        <v>42</v>
      </c>
      <c r="M58">
        <v>1.77442971407173</v>
      </c>
      <c r="N58" t="s">
        <v>38</v>
      </c>
      <c r="O58" t="s">
        <v>28</v>
      </c>
      <c r="P58">
        <v>24</v>
      </c>
      <c r="Q58">
        <v>826</v>
      </c>
      <c r="R58">
        <v>28</v>
      </c>
      <c r="S58">
        <v>12.8362845728327</v>
      </c>
      <c r="T58" t="s">
        <v>63</v>
      </c>
      <c r="U58">
        <v>1.1737554953874501</v>
      </c>
      <c r="V58" t="s">
        <v>39</v>
      </c>
      <c r="W58" t="s">
        <v>31</v>
      </c>
      <c r="X58">
        <v>832.210808706021</v>
      </c>
    </row>
    <row r="59" spans="1:24" x14ac:dyDescent="0.3">
      <c r="A59" t="s">
        <v>23</v>
      </c>
      <c r="B59" t="s">
        <v>110</v>
      </c>
      <c r="C59">
        <v>49.263205350734097</v>
      </c>
      <c r="D59">
        <v>65</v>
      </c>
      <c r="E59">
        <v>227</v>
      </c>
      <c r="F59">
        <v>1605.8669003924001</v>
      </c>
      <c r="G59" t="s">
        <v>37</v>
      </c>
      <c r="H59">
        <v>5</v>
      </c>
      <c r="I59">
        <v>18</v>
      </c>
      <c r="J59">
        <v>51</v>
      </c>
      <c r="K59">
        <v>1</v>
      </c>
      <c r="L59" t="s">
        <v>26</v>
      </c>
      <c r="M59">
        <v>9.1605585353818704</v>
      </c>
      <c r="N59" t="s">
        <v>60</v>
      </c>
      <c r="O59" t="s">
        <v>49</v>
      </c>
      <c r="P59">
        <v>21</v>
      </c>
      <c r="Q59">
        <v>588</v>
      </c>
      <c r="R59">
        <v>25</v>
      </c>
      <c r="S59">
        <v>67.779622987078099</v>
      </c>
      <c r="T59" t="s">
        <v>29</v>
      </c>
      <c r="U59">
        <v>2.5111748302126999</v>
      </c>
      <c r="V59" t="s">
        <v>46</v>
      </c>
      <c r="W59" t="s">
        <v>47</v>
      </c>
      <c r="X59">
        <v>482.19123860252802</v>
      </c>
    </row>
    <row r="60" spans="1:24" x14ac:dyDescent="0.3">
      <c r="A60" t="s">
        <v>32</v>
      </c>
      <c r="B60" t="s">
        <v>111</v>
      </c>
      <c r="C60">
        <v>59.841561377289302</v>
      </c>
      <c r="D60">
        <v>81</v>
      </c>
      <c r="E60">
        <v>896</v>
      </c>
      <c r="F60">
        <v>2021.1498103371</v>
      </c>
      <c r="G60" t="s">
        <v>25</v>
      </c>
      <c r="H60">
        <v>10</v>
      </c>
      <c r="I60">
        <v>5</v>
      </c>
      <c r="J60">
        <v>44</v>
      </c>
      <c r="K60">
        <v>7</v>
      </c>
      <c r="L60" t="s">
        <v>35</v>
      </c>
      <c r="M60">
        <v>4.9384385647120901</v>
      </c>
      <c r="N60" t="s">
        <v>27</v>
      </c>
      <c r="O60" t="s">
        <v>49</v>
      </c>
      <c r="P60">
        <v>18</v>
      </c>
      <c r="Q60">
        <v>396</v>
      </c>
      <c r="R60">
        <v>7</v>
      </c>
      <c r="S60">
        <v>65.047415094691402</v>
      </c>
      <c r="T60" t="s">
        <v>45</v>
      </c>
      <c r="U60">
        <v>1.7303747198591899</v>
      </c>
      <c r="V60" t="s">
        <v>30</v>
      </c>
      <c r="W60" t="s">
        <v>31</v>
      </c>
      <c r="X60">
        <v>110.364335231364</v>
      </c>
    </row>
    <row r="61" spans="1:24" x14ac:dyDescent="0.3">
      <c r="A61" t="s">
        <v>56</v>
      </c>
      <c r="B61" t="s">
        <v>112</v>
      </c>
      <c r="C61">
        <v>63.828398347710902</v>
      </c>
      <c r="D61">
        <v>30</v>
      </c>
      <c r="E61">
        <v>484</v>
      </c>
      <c r="F61">
        <v>1061.6185230132801</v>
      </c>
      <c r="G61" t="s">
        <v>25</v>
      </c>
      <c r="H61">
        <v>100</v>
      </c>
      <c r="I61">
        <v>16</v>
      </c>
      <c r="J61">
        <v>26</v>
      </c>
      <c r="K61">
        <v>7</v>
      </c>
      <c r="L61" t="s">
        <v>26</v>
      </c>
      <c r="M61">
        <v>7.2937225968677204</v>
      </c>
      <c r="N61" t="s">
        <v>38</v>
      </c>
      <c r="O61" t="s">
        <v>44</v>
      </c>
      <c r="P61">
        <v>11</v>
      </c>
      <c r="Q61">
        <v>176</v>
      </c>
      <c r="R61">
        <v>4</v>
      </c>
      <c r="S61">
        <v>1.90076224351945</v>
      </c>
      <c r="T61" t="s">
        <v>45</v>
      </c>
      <c r="U61">
        <v>0.44719401546382298</v>
      </c>
      <c r="V61" t="s">
        <v>39</v>
      </c>
      <c r="W61" t="s">
        <v>47</v>
      </c>
      <c r="X61">
        <v>312.57427361009297</v>
      </c>
    </row>
    <row r="62" spans="1:24" x14ac:dyDescent="0.3">
      <c r="A62" t="s">
        <v>32</v>
      </c>
      <c r="B62" t="s">
        <v>113</v>
      </c>
      <c r="C62">
        <v>17.028027920188698</v>
      </c>
      <c r="D62">
        <v>16</v>
      </c>
      <c r="E62">
        <v>380</v>
      </c>
      <c r="F62">
        <v>8864.0843495864301</v>
      </c>
      <c r="G62" t="s">
        <v>34</v>
      </c>
      <c r="H62">
        <v>41</v>
      </c>
      <c r="I62">
        <v>27</v>
      </c>
      <c r="J62">
        <v>72</v>
      </c>
      <c r="K62">
        <v>8</v>
      </c>
      <c r="L62" t="s">
        <v>42</v>
      </c>
      <c r="M62">
        <v>4.3813681581023101</v>
      </c>
      <c r="N62" t="s">
        <v>51</v>
      </c>
      <c r="O62" t="s">
        <v>28</v>
      </c>
      <c r="P62">
        <v>29</v>
      </c>
      <c r="Q62">
        <v>929</v>
      </c>
      <c r="R62">
        <v>24</v>
      </c>
      <c r="S62">
        <v>87.213057815135599</v>
      </c>
      <c r="T62" t="s">
        <v>45</v>
      </c>
      <c r="U62">
        <v>2.8530906166490499</v>
      </c>
      <c r="V62" t="s">
        <v>46</v>
      </c>
      <c r="W62" t="s">
        <v>47</v>
      </c>
      <c r="X62">
        <v>430.16909697513597</v>
      </c>
    </row>
    <row r="63" spans="1:24" x14ac:dyDescent="0.3">
      <c r="A63" t="s">
        <v>23</v>
      </c>
      <c r="B63" t="s">
        <v>114</v>
      </c>
      <c r="C63">
        <v>52.028749903294901</v>
      </c>
      <c r="D63">
        <v>23</v>
      </c>
      <c r="E63">
        <v>117</v>
      </c>
      <c r="F63">
        <v>6885.5893508962499</v>
      </c>
      <c r="G63" t="s">
        <v>37</v>
      </c>
      <c r="H63">
        <v>32</v>
      </c>
      <c r="I63">
        <v>23</v>
      </c>
      <c r="J63">
        <v>36</v>
      </c>
      <c r="K63">
        <v>7</v>
      </c>
      <c r="L63" t="s">
        <v>42</v>
      </c>
      <c r="M63">
        <v>9.0303404225219399</v>
      </c>
      <c r="N63" t="s">
        <v>51</v>
      </c>
      <c r="O63" t="s">
        <v>44</v>
      </c>
      <c r="P63">
        <v>14</v>
      </c>
      <c r="Q63">
        <v>480</v>
      </c>
      <c r="R63">
        <v>12</v>
      </c>
      <c r="S63">
        <v>78.702393968878894</v>
      </c>
      <c r="T63" t="s">
        <v>45</v>
      </c>
      <c r="U63">
        <v>4.3674705382050503</v>
      </c>
      <c r="V63" t="s">
        <v>39</v>
      </c>
      <c r="W63" t="s">
        <v>47</v>
      </c>
      <c r="X63">
        <v>164.366528243419</v>
      </c>
    </row>
    <row r="64" spans="1:24" x14ac:dyDescent="0.3">
      <c r="A64" t="s">
        <v>56</v>
      </c>
      <c r="B64" t="s">
        <v>115</v>
      </c>
      <c r="C64">
        <v>72.796353955587307</v>
      </c>
      <c r="D64">
        <v>89</v>
      </c>
      <c r="E64">
        <v>270</v>
      </c>
      <c r="F64">
        <v>3899.7468337292198</v>
      </c>
      <c r="G64" t="s">
        <v>37</v>
      </c>
      <c r="H64">
        <v>86</v>
      </c>
      <c r="I64">
        <v>2</v>
      </c>
      <c r="J64">
        <v>40</v>
      </c>
      <c r="K64">
        <v>7</v>
      </c>
      <c r="L64" t="s">
        <v>42</v>
      </c>
      <c r="M64">
        <v>7.2917013887767697</v>
      </c>
      <c r="N64" t="s">
        <v>60</v>
      </c>
      <c r="O64" t="s">
        <v>28</v>
      </c>
      <c r="P64">
        <v>13</v>
      </c>
      <c r="Q64">
        <v>751</v>
      </c>
      <c r="R64">
        <v>14</v>
      </c>
      <c r="S64">
        <v>21.048642725168602</v>
      </c>
      <c r="T64" t="s">
        <v>63</v>
      </c>
      <c r="U64">
        <v>1.87400140404437</v>
      </c>
      <c r="V64" t="s">
        <v>55</v>
      </c>
      <c r="W64" t="s">
        <v>40</v>
      </c>
      <c r="X64">
        <v>320.84651575911101</v>
      </c>
    </row>
    <row r="65" spans="1:24" x14ac:dyDescent="0.3">
      <c r="A65" t="s">
        <v>32</v>
      </c>
      <c r="B65" t="s">
        <v>116</v>
      </c>
      <c r="C65">
        <v>13.0173767852878</v>
      </c>
      <c r="D65">
        <v>55</v>
      </c>
      <c r="E65">
        <v>246</v>
      </c>
      <c r="F65">
        <v>4256.9491408502199</v>
      </c>
      <c r="G65" t="s">
        <v>25</v>
      </c>
      <c r="H65">
        <v>54</v>
      </c>
      <c r="I65">
        <v>19</v>
      </c>
      <c r="J65">
        <v>10</v>
      </c>
      <c r="K65">
        <v>4</v>
      </c>
      <c r="L65" t="s">
        <v>35</v>
      </c>
      <c r="M65">
        <v>2.45793352798733</v>
      </c>
      <c r="N65" t="s">
        <v>27</v>
      </c>
      <c r="O65" t="s">
        <v>52</v>
      </c>
      <c r="P65">
        <v>18</v>
      </c>
      <c r="Q65">
        <v>736</v>
      </c>
      <c r="R65">
        <v>10</v>
      </c>
      <c r="S65">
        <v>20.075003975630398</v>
      </c>
      <c r="T65" t="s">
        <v>29</v>
      </c>
      <c r="U65">
        <v>3.6328432903821302</v>
      </c>
      <c r="V65" t="s">
        <v>55</v>
      </c>
      <c r="W65" t="s">
        <v>47</v>
      </c>
      <c r="X65">
        <v>687.28617786641701</v>
      </c>
    </row>
    <row r="66" spans="1:24" x14ac:dyDescent="0.3">
      <c r="A66" t="s">
        <v>32</v>
      </c>
      <c r="B66" t="s">
        <v>117</v>
      </c>
      <c r="C66">
        <v>89.634095608135297</v>
      </c>
      <c r="D66">
        <v>11</v>
      </c>
      <c r="E66">
        <v>134</v>
      </c>
      <c r="F66">
        <v>8458.7308783671706</v>
      </c>
      <c r="G66" t="s">
        <v>34</v>
      </c>
      <c r="H66">
        <v>73</v>
      </c>
      <c r="I66">
        <v>27</v>
      </c>
      <c r="J66">
        <v>75</v>
      </c>
      <c r="K66">
        <v>6</v>
      </c>
      <c r="L66" t="s">
        <v>42</v>
      </c>
      <c r="M66">
        <v>4.5853534681946497</v>
      </c>
      <c r="N66" t="s">
        <v>38</v>
      </c>
      <c r="O66" t="s">
        <v>49</v>
      </c>
      <c r="P66">
        <v>17</v>
      </c>
      <c r="Q66">
        <v>328</v>
      </c>
      <c r="R66">
        <v>6</v>
      </c>
      <c r="S66">
        <v>8.6930424258772803</v>
      </c>
      <c r="T66" t="s">
        <v>45</v>
      </c>
      <c r="U66">
        <v>0.15948631471751401</v>
      </c>
      <c r="V66" t="s">
        <v>39</v>
      </c>
      <c r="W66" t="s">
        <v>40</v>
      </c>
      <c r="X66">
        <v>771.225084681157</v>
      </c>
    </row>
    <row r="67" spans="1:24" x14ac:dyDescent="0.3">
      <c r="A67" t="s">
        <v>32</v>
      </c>
      <c r="B67" t="s">
        <v>118</v>
      </c>
      <c r="C67">
        <v>33.697717206643098</v>
      </c>
      <c r="D67">
        <v>72</v>
      </c>
      <c r="E67">
        <v>457</v>
      </c>
      <c r="F67">
        <v>8354.5796864819895</v>
      </c>
      <c r="G67" t="s">
        <v>54</v>
      </c>
      <c r="H67">
        <v>57</v>
      </c>
      <c r="I67">
        <v>24</v>
      </c>
      <c r="J67">
        <v>54</v>
      </c>
      <c r="K67">
        <v>8</v>
      </c>
      <c r="L67" t="s">
        <v>42</v>
      </c>
      <c r="M67">
        <v>6.5805413478845898</v>
      </c>
      <c r="N67" t="s">
        <v>43</v>
      </c>
      <c r="O67" t="s">
        <v>44</v>
      </c>
      <c r="P67">
        <v>16</v>
      </c>
      <c r="Q67">
        <v>358</v>
      </c>
      <c r="R67">
        <v>21</v>
      </c>
      <c r="S67">
        <v>1.59722274305067</v>
      </c>
      <c r="T67" t="s">
        <v>45</v>
      </c>
      <c r="U67">
        <v>4.9110959548423301</v>
      </c>
      <c r="V67" t="s">
        <v>46</v>
      </c>
      <c r="W67" t="s">
        <v>40</v>
      </c>
      <c r="X67">
        <v>555.85910367174301</v>
      </c>
    </row>
    <row r="68" spans="1:24" x14ac:dyDescent="0.3">
      <c r="A68" t="s">
        <v>32</v>
      </c>
      <c r="B68" t="s">
        <v>119</v>
      </c>
      <c r="C68">
        <v>26.034869773962001</v>
      </c>
      <c r="D68">
        <v>52</v>
      </c>
      <c r="E68">
        <v>704</v>
      </c>
      <c r="F68">
        <v>8367.7216180201503</v>
      </c>
      <c r="G68" t="s">
        <v>34</v>
      </c>
      <c r="H68">
        <v>13</v>
      </c>
      <c r="I68">
        <v>17</v>
      </c>
      <c r="J68">
        <v>19</v>
      </c>
      <c r="K68">
        <v>8</v>
      </c>
      <c r="L68" t="s">
        <v>35</v>
      </c>
      <c r="M68">
        <v>2.2161427287713602</v>
      </c>
      <c r="N68" t="s">
        <v>43</v>
      </c>
      <c r="O68" t="s">
        <v>44</v>
      </c>
      <c r="P68">
        <v>24</v>
      </c>
      <c r="Q68">
        <v>867</v>
      </c>
      <c r="R68">
        <v>28</v>
      </c>
      <c r="S68">
        <v>42.084436738309897</v>
      </c>
      <c r="T68" t="s">
        <v>45</v>
      </c>
      <c r="U68">
        <v>3.44806328834026</v>
      </c>
      <c r="V68" t="s">
        <v>30</v>
      </c>
      <c r="W68" t="s">
        <v>47</v>
      </c>
      <c r="X68">
        <v>393.84334857842703</v>
      </c>
    </row>
    <row r="69" spans="1:24" x14ac:dyDescent="0.3">
      <c r="A69" t="s">
        <v>32</v>
      </c>
      <c r="B69" t="s">
        <v>120</v>
      </c>
      <c r="C69">
        <v>87.755432354001002</v>
      </c>
      <c r="D69">
        <v>16</v>
      </c>
      <c r="E69">
        <v>513</v>
      </c>
      <c r="F69">
        <v>9473.7980325083299</v>
      </c>
      <c r="G69" t="s">
        <v>37</v>
      </c>
      <c r="H69">
        <v>12</v>
      </c>
      <c r="I69">
        <v>9</v>
      </c>
      <c r="J69">
        <v>71</v>
      </c>
      <c r="K69">
        <v>9</v>
      </c>
      <c r="L69" t="s">
        <v>42</v>
      </c>
      <c r="M69">
        <v>9.1478115447106294</v>
      </c>
      <c r="N69" t="s">
        <v>38</v>
      </c>
      <c r="O69" t="s">
        <v>28</v>
      </c>
      <c r="P69">
        <v>10</v>
      </c>
      <c r="Q69">
        <v>198</v>
      </c>
      <c r="R69">
        <v>11</v>
      </c>
      <c r="S69">
        <v>7.0578761469782298</v>
      </c>
      <c r="T69" t="s">
        <v>63</v>
      </c>
      <c r="U69">
        <v>0.131955444311814</v>
      </c>
      <c r="V69" t="s">
        <v>55</v>
      </c>
      <c r="W69" t="s">
        <v>40</v>
      </c>
      <c r="X69">
        <v>169.27180138478599</v>
      </c>
    </row>
    <row r="70" spans="1:24" x14ac:dyDescent="0.3">
      <c r="A70" t="s">
        <v>23</v>
      </c>
      <c r="B70" t="s">
        <v>121</v>
      </c>
      <c r="C70">
        <v>37.931812382790298</v>
      </c>
      <c r="D70">
        <v>29</v>
      </c>
      <c r="E70">
        <v>163</v>
      </c>
      <c r="F70">
        <v>3550.21843278099</v>
      </c>
      <c r="G70" t="s">
        <v>25</v>
      </c>
      <c r="H70">
        <v>0</v>
      </c>
      <c r="I70">
        <v>8</v>
      </c>
      <c r="J70">
        <v>58</v>
      </c>
      <c r="K70">
        <v>8</v>
      </c>
      <c r="L70" t="s">
        <v>26</v>
      </c>
      <c r="M70">
        <v>1.19425186488499</v>
      </c>
      <c r="N70" t="s">
        <v>60</v>
      </c>
      <c r="O70" t="s">
        <v>52</v>
      </c>
      <c r="P70">
        <v>2</v>
      </c>
      <c r="Q70">
        <v>375</v>
      </c>
      <c r="R70">
        <v>18</v>
      </c>
      <c r="S70">
        <v>97.113581563462205</v>
      </c>
      <c r="T70" t="s">
        <v>45</v>
      </c>
      <c r="U70">
        <v>1.9834678721741801</v>
      </c>
      <c r="V70" t="s">
        <v>46</v>
      </c>
      <c r="W70" t="s">
        <v>47</v>
      </c>
      <c r="X70">
        <v>299.70630311810299</v>
      </c>
    </row>
    <row r="71" spans="1:24" x14ac:dyDescent="0.3">
      <c r="A71" t="s">
        <v>32</v>
      </c>
      <c r="B71" t="s">
        <v>122</v>
      </c>
      <c r="C71">
        <v>54.865528517069698</v>
      </c>
      <c r="D71">
        <v>62</v>
      </c>
      <c r="E71">
        <v>511</v>
      </c>
      <c r="F71">
        <v>1752.3810874841199</v>
      </c>
      <c r="G71" t="s">
        <v>25</v>
      </c>
      <c r="H71">
        <v>95</v>
      </c>
      <c r="I71">
        <v>1</v>
      </c>
      <c r="J71">
        <v>27</v>
      </c>
      <c r="K71">
        <v>3</v>
      </c>
      <c r="L71" t="s">
        <v>26</v>
      </c>
      <c r="M71">
        <v>9.7052867901203399</v>
      </c>
      <c r="N71" t="s">
        <v>51</v>
      </c>
      <c r="O71" t="s">
        <v>44</v>
      </c>
      <c r="P71">
        <v>9</v>
      </c>
      <c r="Q71">
        <v>862</v>
      </c>
      <c r="R71">
        <v>7</v>
      </c>
      <c r="S71">
        <v>77.627765812748095</v>
      </c>
      <c r="T71" t="s">
        <v>29</v>
      </c>
      <c r="U71">
        <v>1.3623879886490999</v>
      </c>
      <c r="V71" t="s">
        <v>39</v>
      </c>
      <c r="W71" t="s">
        <v>47</v>
      </c>
      <c r="X71">
        <v>207.66320620857499</v>
      </c>
    </row>
    <row r="72" spans="1:24" x14ac:dyDescent="0.3">
      <c r="A72" t="s">
        <v>23</v>
      </c>
      <c r="B72" t="s">
        <v>123</v>
      </c>
      <c r="C72">
        <v>47.914541824058702</v>
      </c>
      <c r="D72">
        <v>90</v>
      </c>
      <c r="E72">
        <v>32</v>
      </c>
      <c r="F72">
        <v>7014.8879872033804</v>
      </c>
      <c r="G72" t="s">
        <v>34</v>
      </c>
      <c r="H72">
        <v>10</v>
      </c>
      <c r="I72">
        <v>12</v>
      </c>
      <c r="J72">
        <v>22</v>
      </c>
      <c r="K72">
        <v>4</v>
      </c>
      <c r="L72" t="s">
        <v>26</v>
      </c>
      <c r="M72">
        <v>6.3157177546007199</v>
      </c>
      <c r="N72" t="s">
        <v>38</v>
      </c>
      <c r="O72" t="s">
        <v>52</v>
      </c>
      <c r="P72">
        <v>22</v>
      </c>
      <c r="Q72">
        <v>775</v>
      </c>
      <c r="R72">
        <v>16</v>
      </c>
      <c r="S72">
        <v>11.440781823761199</v>
      </c>
      <c r="T72" t="s">
        <v>63</v>
      </c>
      <c r="U72">
        <v>1.8305755986122301</v>
      </c>
      <c r="V72" t="s">
        <v>30</v>
      </c>
      <c r="W72" t="s">
        <v>40</v>
      </c>
      <c r="X72">
        <v>183.27289874871099</v>
      </c>
    </row>
    <row r="73" spans="1:24" x14ac:dyDescent="0.3">
      <c r="A73" t="s">
        <v>56</v>
      </c>
      <c r="B73" t="s">
        <v>124</v>
      </c>
      <c r="C73">
        <v>6.3815331627479601</v>
      </c>
      <c r="D73">
        <v>14</v>
      </c>
      <c r="E73">
        <v>637</v>
      </c>
      <c r="F73">
        <v>8180.3370854254399</v>
      </c>
      <c r="G73" t="s">
        <v>34</v>
      </c>
      <c r="H73">
        <v>76</v>
      </c>
      <c r="I73">
        <v>2</v>
      </c>
      <c r="J73">
        <v>26</v>
      </c>
      <c r="K73">
        <v>6</v>
      </c>
      <c r="L73" t="s">
        <v>35</v>
      </c>
      <c r="M73">
        <v>9.2281903170525101</v>
      </c>
      <c r="N73" t="s">
        <v>60</v>
      </c>
      <c r="O73" t="s">
        <v>52</v>
      </c>
      <c r="P73">
        <v>2</v>
      </c>
      <c r="Q73">
        <v>258</v>
      </c>
      <c r="R73">
        <v>10</v>
      </c>
      <c r="S73">
        <v>30.661677477859499</v>
      </c>
      <c r="T73" t="s">
        <v>29</v>
      </c>
      <c r="U73">
        <v>2.07875060787496</v>
      </c>
      <c r="V73" t="s">
        <v>30</v>
      </c>
      <c r="W73" t="s">
        <v>47</v>
      </c>
      <c r="X73">
        <v>405.167067888855</v>
      </c>
    </row>
    <row r="74" spans="1:24" x14ac:dyDescent="0.3">
      <c r="A74" t="s">
        <v>56</v>
      </c>
      <c r="B74" t="s">
        <v>125</v>
      </c>
      <c r="C74">
        <v>90.204427520528</v>
      </c>
      <c r="D74">
        <v>88</v>
      </c>
      <c r="E74">
        <v>478</v>
      </c>
      <c r="F74">
        <v>2633.1219813122498</v>
      </c>
      <c r="G74" t="s">
        <v>25</v>
      </c>
      <c r="H74">
        <v>57</v>
      </c>
      <c r="I74">
        <v>29</v>
      </c>
      <c r="J74">
        <v>77</v>
      </c>
      <c r="K74">
        <v>9</v>
      </c>
      <c r="L74" t="s">
        <v>35</v>
      </c>
      <c r="M74">
        <v>6.5996141596895397</v>
      </c>
      <c r="N74" t="s">
        <v>38</v>
      </c>
      <c r="O74" t="s">
        <v>52</v>
      </c>
      <c r="P74">
        <v>21</v>
      </c>
      <c r="Q74">
        <v>152</v>
      </c>
      <c r="R74">
        <v>11</v>
      </c>
      <c r="S74">
        <v>55.760492895244198</v>
      </c>
      <c r="T74" t="s">
        <v>29</v>
      </c>
      <c r="U74">
        <v>3.2133296074383</v>
      </c>
      <c r="V74" t="s">
        <v>46</v>
      </c>
      <c r="W74" t="s">
        <v>31</v>
      </c>
      <c r="X74">
        <v>677.94456984618296</v>
      </c>
    </row>
    <row r="75" spans="1:24" x14ac:dyDescent="0.3">
      <c r="A75" t="s">
        <v>56</v>
      </c>
      <c r="B75" t="s">
        <v>126</v>
      </c>
      <c r="C75">
        <v>83.851017681304597</v>
      </c>
      <c r="D75">
        <v>41</v>
      </c>
      <c r="E75">
        <v>375</v>
      </c>
      <c r="F75">
        <v>7910.8869161406801</v>
      </c>
      <c r="G75" t="s">
        <v>54</v>
      </c>
      <c r="H75">
        <v>17</v>
      </c>
      <c r="I75">
        <v>25</v>
      </c>
      <c r="J75">
        <v>66</v>
      </c>
      <c r="K75">
        <v>5</v>
      </c>
      <c r="L75" t="s">
        <v>26</v>
      </c>
      <c r="M75">
        <v>1.5129368369160701</v>
      </c>
      <c r="N75" t="s">
        <v>51</v>
      </c>
      <c r="O75" t="s">
        <v>61</v>
      </c>
      <c r="P75">
        <v>13</v>
      </c>
      <c r="Q75">
        <v>444</v>
      </c>
      <c r="R75">
        <v>4</v>
      </c>
      <c r="S75">
        <v>46.870238797617098</v>
      </c>
      <c r="T75" t="s">
        <v>45</v>
      </c>
      <c r="U75">
        <v>4.6205460645137002</v>
      </c>
      <c r="V75" t="s">
        <v>30</v>
      </c>
      <c r="W75" t="s">
        <v>47</v>
      </c>
      <c r="X75">
        <v>866.472800129657</v>
      </c>
    </row>
    <row r="76" spans="1:24" x14ac:dyDescent="0.3">
      <c r="A76" t="s">
        <v>23</v>
      </c>
      <c r="B76" t="s">
        <v>127</v>
      </c>
      <c r="C76">
        <v>3.1700114135661499</v>
      </c>
      <c r="D76">
        <v>64</v>
      </c>
      <c r="E76">
        <v>904</v>
      </c>
      <c r="F76">
        <v>5709.9452959692799</v>
      </c>
      <c r="G76" t="s">
        <v>34</v>
      </c>
      <c r="H76">
        <v>41</v>
      </c>
      <c r="I76">
        <v>6</v>
      </c>
      <c r="J76">
        <v>1</v>
      </c>
      <c r="K76">
        <v>5</v>
      </c>
      <c r="L76" t="s">
        <v>35</v>
      </c>
      <c r="M76">
        <v>5.2376546500374399</v>
      </c>
      <c r="N76" t="s">
        <v>51</v>
      </c>
      <c r="O76" t="s">
        <v>49</v>
      </c>
      <c r="P76">
        <v>1</v>
      </c>
      <c r="Q76">
        <v>919</v>
      </c>
      <c r="R76">
        <v>9</v>
      </c>
      <c r="S76">
        <v>80.580852156447804</v>
      </c>
      <c r="T76" t="s">
        <v>45</v>
      </c>
      <c r="U76">
        <v>0.39661272410993498</v>
      </c>
      <c r="V76" t="s">
        <v>46</v>
      </c>
      <c r="W76" t="s">
        <v>47</v>
      </c>
      <c r="X76">
        <v>341.55265678322297</v>
      </c>
    </row>
    <row r="77" spans="1:24" x14ac:dyDescent="0.3">
      <c r="A77" t="s">
        <v>32</v>
      </c>
      <c r="B77" t="s">
        <v>128</v>
      </c>
      <c r="C77">
        <v>92.996884233970604</v>
      </c>
      <c r="D77">
        <v>29</v>
      </c>
      <c r="E77">
        <v>106</v>
      </c>
      <c r="F77">
        <v>1889.07358977933</v>
      </c>
      <c r="G77" t="s">
        <v>25</v>
      </c>
      <c r="H77">
        <v>16</v>
      </c>
      <c r="I77">
        <v>20</v>
      </c>
      <c r="J77">
        <v>56</v>
      </c>
      <c r="K77">
        <v>10</v>
      </c>
      <c r="L77" t="s">
        <v>42</v>
      </c>
      <c r="M77">
        <v>2.47389776104546</v>
      </c>
      <c r="N77" t="s">
        <v>38</v>
      </c>
      <c r="O77" t="s">
        <v>61</v>
      </c>
      <c r="P77">
        <v>25</v>
      </c>
      <c r="Q77">
        <v>759</v>
      </c>
      <c r="R77">
        <v>11</v>
      </c>
      <c r="S77">
        <v>48.064782640006499</v>
      </c>
      <c r="T77" t="s">
        <v>63</v>
      </c>
      <c r="U77">
        <v>2.0300690886687498</v>
      </c>
      <c r="V77" t="s">
        <v>39</v>
      </c>
      <c r="W77" t="s">
        <v>40</v>
      </c>
      <c r="X77">
        <v>873.12964801765099</v>
      </c>
    </row>
    <row r="78" spans="1:24" x14ac:dyDescent="0.3">
      <c r="A78" t="s">
        <v>23</v>
      </c>
      <c r="B78" t="s">
        <v>129</v>
      </c>
      <c r="C78">
        <v>69.108799547430294</v>
      </c>
      <c r="D78">
        <v>23</v>
      </c>
      <c r="E78">
        <v>241</v>
      </c>
      <c r="F78">
        <v>5328.3759842977497</v>
      </c>
      <c r="G78" t="s">
        <v>54</v>
      </c>
      <c r="H78">
        <v>38</v>
      </c>
      <c r="I78">
        <v>1</v>
      </c>
      <c r="J78">
        <v>22</v>
      </c>
      <c r="K78">
        <v>10</v>
      </c>
      <c r="L78" t="s">
        <v>35</v>
      </c>
      <c r="M78">
        <v>7.0545383368369201</v>
      </c>
      <c r="N78" t="s">
        <v>60</v>
      </c>
      <c r="O78" t="s">
        <v>52</v>
      </c>
      <c r="P78">
        <v>25</v>
      </c>
      <c r="Q78">
        <v>985</v>
      </c>
      <c r="R78">
        <v>24</v>
      </c>
      <c r="S78">
        <v>64.323597795600193</v>
      </c>
      <c r="T78" t="s">
        <v>29</v>
      </c>
      <c r="U78">
        <v>2.1800374515822099</v>
      </c>
      <c r="V78" t="s">
        <v>46</v>
      </c>
      <c r="W78" t="s">
        <v>47</v>
      </c>
      <c r="X78">
        <v>997.41345013319403</v>
      </c>
    </row>
    <row r="79" spans="1:24" x14ac:dyDescent="0.3">
      <c r="A79" t="s">
        <v>23</v>
      </c>
      <c r="B79" t="s">
        <v>130</v>
      </c>
      <c r="C79">
        <v>57.449742958971399</v>
      </c>
      <c r="D79">
        <v>14</v>
      </c>
      <c r="E79">
        <v>359</v>
      </c>
      <c r="F79">
        <v>2483.7601775427902</v>
      </c>
      <c r="G79" t="s">
        <v>37</v>
      </c>
      <c r="H79">
        <v>96</v>
      </c>
      <c r="I79">
        <v>28</v>
      </c>
      <c r="J79">
        <v>57</v>
      </c>
      <c r="K79">
        <v>4</v>
      </c>
      <c r="L79" t="s">
        <v>26</v>
      </c>
      <c r="M79">
        <v>6.7809466256178901</v>
      </c>
      <c r="N79" t="s">
        <v>38</v>
      </c>
      <c r="O79" t="s">
        <v>44</v>
      </c>
      <c r="P79">
        <v>26</v>
      </c>
      <c r="Q79">
        <v>334</v>
      </c>
      <c r="R79">
        <v>5</v>
      </c>
      <c r="S79">
        <v>42.952444748991802</v>
      </c>
      <c r="T79" t="s">
        <v>63</v>
      </c>
      <c r="U79">
        <v>3.0551418183075398</v>
      </c>
      <c r="V79" t="s">
        <v>30</v>
      </c>
      <c r="W79" t="s">
        <v>31</v>
      </c>
      <c r="X79">
        <v>852.56809891984994</v>
      </c>
    </row>
    <row r="80" spans="1:24" x14ac:dyDescent="0.3">
      <c r="A80" t="s">
        <v>23</v>
      </c>
      <c r="B80" t="s">
        <v>131</v>
      </c>
      <c r="C80">
        <v>6.30688317611191</v>
      </c>
      <c r="D80">
        <v>50</v>
      </c>
      <c r="E80">
        <v>946</v>
      </c>
      <c r="F80">
        <v>1292.45841793775</v>
      </c>
      <c r="G80" t="s">
        <v>37</v>
      </c>
      <c r="H80">
        <v>5</v>
      </c>
      <c r="I80">
        <v>4</v>
      </c>
      <c r="J80">
        <v>51</v>
      </c>
      <c r="K80">
        <v>5</v>
      </c>
      <c r="L80" t="s">
        <v>26</v>
      </c>
      <c r="M80">
        <v>8.4670497708619905</v>
      </c>
      <c r="N80" t="s">
        <v>43</v>
      </c>
      <c r="O80" t="s">
        <v>28</v>
      </c>
      <c r="P80">
        <v>25</v>
      </c>
      <c r="Q80">
        <v>858</v>
      </c>
      <c r="R80">
        <v>21</v>
      </c>
      <c r="S80">
        <v>71.126514720403307</v>
      </c>
      <c r="T80" t="s">
        <v>29</v>
      </c>
      <c r="U80">
        <v>4.0968813324704501</v>
      </c>
      <c r="V80" t="s">
        <v>55</v>
      </c>
      <c r="W80" t="s">
        <v>40</v>
      </c>
      <c r="X80">
        <v>323.59220343132199</v>
      </c>
    </row>
    <row r="81" spans="1:24" x14ac:dyDescent="0.3">
      <c r="A81" t="s">
        <v>23</v>
      </c>
      <c r="B81" t="s">
        <v>132</v>
      </c>
      <c r="C81">
        <v>57.057031221103202</v>
      </c>
      <c r="D81">
        <v>56</v>
      </c>
      <c r="E81">
        <v>198</v>
      </c>
      <c r="F81">
        <v>7888.7232684270803</v>
      </c>
      <c r="G81" t="s">
        <v>25</v>
      </c>
      <c r="H81">
        <v>31</v>
      </c>
      <c r="I81">
        <v>25</v>
      </c>
      <c r="J81">
        <v>20</v>
      </c>
      <c r="K81">
        <v>1</v>
      </c>
      <c r="L81" t="s">
        <v>26</v>
      </c>
      <c r="M81">
        <v>6.49632536429504</v>
      </c>
      <c r="N81" t="s">
        <v>27</v>
      </c>
      <c r="O81" t="s">
        <v>52</v>
      </c>
      <c r="P81">
        <v>5</v>
      </c>
      <c r="Q81">
        <v>228</v>
      </c>
      <c r="R81">
        <v>12</v>
      </c>
      <c r="S81">
        <v>57.870902924036201</v>
      </c>
      <c r="T81" t="s">
        <v>29</v>
      </c>
      <c r="U81">
        <v>0.16587162748060799</v>
      </c>
      <c r="V81" t="s">
        <v>39</v>
      </c>
      <c r="W81" t="s">
        <v>40</v>
      </c>
      <c r="X81">
        <v>351.50421933503799</v>
      </c>
    </row>
    <row r="82" spans="1:24" x14ac:dyDescent="0.3">
      <c r="A82" t="s">
        <v>32</v>
      </c>
      <c r="B82" t="s">
        <v>133</v>
      </c>
      <c r="C82">
        <v>91.128318350444303</v>
      </c>
      <c r="D82">
        <v>75</v>
      </c>
      <c r="E82">
        <v>872</v>
      </c>
      <c r="F82">
        <v>8651.67268298206</v>
      </c>
      <c r="G82" t="s">
        <v>37</v>
      </c>
      <c r="H82">
        <v>39</v>
      </c>
      <c r="I82">
        <v>14</v>
      </c>
      <c r="J82">
        <v>41</v>
      </c>
      <c r="K82">
        <v>2</v>
      </c>
      <c r="L82" t="s">
        <v>42</v>
      </c>
      <c r="M82">
        <v>2.8331846794189701</v>
      </c>
      <c r="N82" t="s">
        <v>27</v>
      </c>
      <c r="O82" t="s">
        <v>61</v>
      </c>
      <c r="P82">
        <v>8</v>
      </c>
      <c r="Q82">
        <v>202</v>
      </c>
      <c r="R82">
        <v>5</v>
      </c>
      <c r="S82">
        <v>76.961228023819999</v>
      </c>
      <c r="T82" t="s">
        <v>45</v>
      </c>
      <c r="U82">
        <v>2.8496621985053299</v>
      </c>
      <c r="V82" t="s">
        <v>55</v>
      </c>
      <c r="W82" t="s">
        <v>31</v>
      </c>
      <c r="X82">
        <v>787.77985049434403</v>
      </c>
    </row>
    <row r="83" spans="1:24" x14ac:dyDescent="0.3">
      <c r="A83" t="s">
        <v>23</v>
      </c>
      <c r="B83" t="s">
        <v>134</v>
      </c>
      <c r="C83">
        <v>72.819206930318202</v>
      </c>
      <c r="D83">
        <v>9</v>
      </c>
      <c r="E83">
        <v>774</v>
      </c>
      <c r="F83">
        <v>4384.4134000458598</v>
      </c>
      <c r="G83" t="s">
        <v>37</v>
      </c>
      <c r="H83">
        <v>48</v>
      </c>
      <c r="I83">
        <v>6</v>
      </c>
      <c r="J83">
        <v>8</v>
      </c>
      <c r="K83">
        <v>5</v>
      </c>
      <c r="L83" t="s">
        <v>26</v>
      </c>
      <c r="M83">
        <v>4.0662775015120403</v>
      </c>
      <c r="N83" t="s">
        <v>27</v>
      </c>
      <c r="O83" t="s">
        <v>49</v>
      </c>
      <c r="P83">
        <v>28</v>
      </c>
      <c r="Q83">
        <v>698</v>
      </c>
      <c r="R83">
        <v>1</v>
      </c>
      <c r="S83">
        <v>19.789592941903599</v>
      </c>
      <c r="T83" t="s">
        <v>29</v>
      </c>
      <c r="U83">
        <v>2.54754712154871</v>
      </c>
      <c r="V83" t="s">
        <v>46</v>
      </c>
      <c r="W83" t="s">
        <v>31</v>
      </c>
      <c r="X83">
        <v>276.77833594679799</v>
      </c>
    </row>
    <row r="84" spans="1:24" x14ac:dyDescent="0.3">
      <c r="A84" t="s">
        <v>32</v>
      </c>
      <c r="B84" t="s">
        <v>135</v>
      </c>
      <c r="C84">
        <v>17.034930739467899</v>
      </c>
      <c r="D84">
        <v>13</v>
      </c>
      <c r="E84">
        <v>336</v>
      </c>
      <c r="F84">
        <v>2943.3818676094502</v>
      </c>
      <c r="G84" t="s">
        <v>37</v>
      </c>
      <c r="H84">
        <v>42</v>
      </c>
      <c r="I84">
        <v>19</v>
      </c>
      <c r="J84">
        <v>72</v>
      </c>
      <c r="K84">
        <v>1</v>
      </c>
      <c r="L84" t="s">
        <v>35</v>
      </c>
      <c r="M84">
        <v>4.7081818735419301</v>
      </c>
      <c r="N84" t="s">
        <v>60</v>
      </c>
      <c r="O84" t="s">
        <v>28</v>
      </c>
      <c r="P84">
        <v>6</v>
      </c>
      <c r="Q84">
        <v>955</v>
      </c>
      <c r="R84">
        <v>26</v>
      </c>
      <c r="S84">
        <v>4.4652784349432402</v>
      </c>
      <c r="T84" t="s">
        <v>29</v>
      </c>
      <c r="U84">
        <v>4.1378770486223502</v>
      </c>
      <c r="V84" t="s">
        <v>30</v>
      </c>
      <c r="W84" t="s">
        <v>40</v>
      </c>
      <c r="X84">
        <v>589.97855562804</v>
      </c>
    </row>
    <row r="85" spans="1:24" x14ac:dyDescent="0.3">
      <c r="A85" t="s">
        <v>23</v>
      </c>
      <c r="B85" t="s">
        <v>136</v>
      </c>
      <c r="C85">
        <v>68.911246211606297</v>
      </c>
      <c r="D85">
        <v>82</v>
      </c>
      <c r="E85">
        <v>663</v>
      </c>
      <c r="F85">
        <v>2411.7546321104901</v>
      </c>
      <c r="G85" t="s">
        <v>37</v>
      </c>
      <c r="H85">
        <v>65</v>
      </c>
      <c r="I85">
        <v>24</v>
      </c>
      <c r="J85">
        <v>7</v>
      </c>
      <c r="K85">
        <v>8</v>
      </c>
      <c r="L85" t="s">
        <v>26</v>
      </c>
      <c r="M85">
        <v>4.94983957799694</v>
      </c>
      <c r="N85" t="s">
        <v>38</v>
      </c>
      <c r="O85" t="s">
        <v>52</v>
      </c>
      <c r="P85">
        <v>20</v>
      </c>
      <c r="Q85">
        <v>443</v>
      </c>
      <c r="R85">
        <v>5</v>
      </c>
      <c r="S85">
        <v>97.730593800533001</v>
      </c>
      <c r="T85" t="s">
        <v>45</v>
      </c>
      <c r="U85">
        <v>0.77300613406724705</v>
      </c>
      <c r="V85" t="s">
        <v>30</v>
      </c>
      <c r="W85" t="s">
        <v>47</v>
      </c>
      <c r="X85">
        <v>682.97101822609295</v>
      </c>
    </row>
    <row r="86" spans="1:24" x14ac:dyDescent="0.3">
      <c r="A86" t="s">
        <v>23</v>
      </c>
      <c r="B86" t="s">
        <v>137</v>
      </c>
      <c r="C86">
        <v>89.104367292102197</v>
      </c>
      <c r="D86">
        <v>99</v>
      </c>
      <c r="E86">
        <v>618</v>
      </c>
      <c r="F86">
        <v>2048.2900998487098</v>
      </c>
      <c r="G86" t="s">
        <v>37</v>
      </c>
      <c r="H86">
        <v>73</v>
      </c>
      <c r="I86">
        <v>26</v>
      </c>
      <c r="J86">
        <v>80</v>
      </c>
      <c r="K86">
        <v>10</v>
      </c>
      <c r="L86" t="s">
        <v>35</v>
      </c>
      <c r="M86">
        <v>8.3816156249226292</v>
      </c>
      <c r="N86" t="s">
        <v>43</v>
      </c>
      <c r="O86" t="s">
        <v>61</v>
      </c>
      <c r="P86">
        <v>24</v>
      </c>
      <c r="Q86">
        <v>589</v>
      </c>
      <c r="R86">
        <v>22</v>
      </c>
      <c r="S86">
        <v>33.808636513209002</v>
      </c>
      <c r="T86" t="s">
        <v>63</v>
      </c>
      <c r="U86">
        <v>4.8434565771180402</v>
      </c>
      <c r="V86" t="s">
        <v>39</v>
      </c>
      <c r="W86" t="s">
        <v>31</v>
      </c>
      <c r="X86">
        <v>465.45700596368698</v>
      </c>
    </row>
    <row r="87" spans="1:24" x14ac:dyDescent="0.3">
      <c r="A87" t="s">
        <v>56</v>
      </c>
      <c r="B87" t="s">
        <v>138</v>
      </c>
      <c r="C87">
        <v>76.962994415193805</v>
      </c>
      <c r="D87">
        <v>83</v>
      </c>
      <c r="E87">
        <v>25</v>
      </c>
      <c r="F87">
        <v>8684.6130592538502</v>
      </c>
      <c r="G87" t="s">
        <v>34</v>
      </c>
      <c r="H87">
        <v>15</v>
      </c>
      <c r="I87">
        <v>18</v>
      </c>
      <c r="J87">
        <v>66</v>
      </c>
      <c r="K87">
        <v>2</v>
      </c>
      <c r="L87" t="s">
        <v>42</v>
      </c>
      <c r="M87">
        <v>8.2491687048717193</v>
      </c>
      <c r="N87" t="s">
        <v>43</v>
      </c>
      <c r="O87" t="s">
        <v>61</v>
      </c>
      <c r="P87">
        <v>4</v>
      </c>
      <c r="Q87">
        <v>211</v>
      </c>
      <c r="R87">
        <v>2</v>
      </c>
      <c r="S87">
        <v>69.929345518672307</v>
      </c>
      <c r="T87" t="s">
        <v>45</v>
      </c>
      <c r="U87">
        <v>1.3744289997457499</v>
      </c>
      <c r="V87" t="s">
        <v>30</v>
      </c>
      <c r="W87" t="s">
        <v>31</v>
      </c>
      <c r="X87">
        <v>842.68683000464102</v>
      </c>
    </row>
    <row r="88" spans="1:24" x14ac:dyDescent="0.3">
      <c r="A88" t="s">
        <v>32</v>
      </c>
      <c r="B88" t="s">
        <v>139</v>
      </c>
      <c r="C88">
        <v>19.9981769404042</v>
      </c>
      <c r="D88">
        <v>18</v>
      </c>
      <c r="E88">
        <v>223</v>
      </c>
      <c r="F88">
        <v>1229.59102856498</v>
      </c>
      <c r="G88" t="s">
        <v>37</v>
      </c>
      <c r="H88">
        <v>32</v>
      </c>
      <c r="I88">
        <v>14</v>
      </c>
      <c r="J88">
        <v>22</v>
      </c>
      <c r="K88">
        <v>6</v>
      </c>
      <c r="L88" t="s">
        <v>26</v>
      </c>
      <c r="M88">
        <v>1.4543053101535499</v>
      </c>
      <c r="N88" t="s">
        <v>38</v>
      </c>
      <c r="O88" t="s">
        <v>28</v>
      </c>
      <c r="P88">
        <v>4</v>
      </c>
      <c r="Q88">
        <v>569</v>
      </c>
      <c r="R88">
        <v>18</v>
      </c>
      <c r="S88">
        <v>74.608969995194599</v>
      </c>
      <c r="T88" t="s">
        <v>63</v>
      </c>
      <c r="U88">
        <v>2.0515129307662399</v>
      </c>
      <c r="V88" t="s">
        <v>46</v>
      </c>
      <c r="W88" t="s">
        <v>47</v>
      </c>
      <c r="X88">
        <v>264.25488983586598</v>
      </c>
    </row>
    <row r="89" spans="1:24" x14ac:dyDescent="0.3">
      <c r="A89" t="s">
        <v>23</v>
      </c>
      <c r="B89" t="s">
        <v>140</v>
      </c>
      <c r="C89">
        <v>80.414036650355698</v>
      </c>
      <c r="D89">
        <v>24</v>
      </c>
      <c r="E89">
        <v>79</v>
      </c>
      <c r="F89">
        <v>5133.8467010866898</v>
      </c>
      <c r="G89" t="s">
        <v>54</v>
      </c>
      <c r="H89">
        <v>5</v>
      </c>
      <c r="I89">
        <v>7</v>
      </c>
      <c r="J89">
        <v>55</v>
      </c>
      <c r="K89">
        <v>10</v>
      </c>
      <c r="L89" t="s">
        <v>35</v>
      </c>
      <c r="M89">
        <v>6.5758037975485299</v>
      </c>
      <c r="N89" t="s">
        <v>27</v>
      </c>
      <c r="O89" t="s">
        <v>61</v>
      </c>
      <c r="P89">
        <v>27</v>
      </c>
      <c r="Q89">
        <v>523</v>
      </c>
      <c r="R89">
        <v>17</v>
      </c>
      <c r="S89">
        <v>28.696996824143099</v>
      </c>
      <c r="T89" t="s">
        <v>45</v>
      </c>
      <c r="U89">
        <v>3.6937377878392699</v>
      </c>
      <c r="V89" t="s">
        <v>55</v>
      </c>
      <c r="W89" t="s">
        <v>31</v>
      </c>
      <c r="X89">
        <v>879.35921773492396</v>
      </c>
    </row>
    <row r="90" spans="1:24" x14ac:dyDescent="0.3">
      <c r="A90" t="s">
        <v>56</v>
      </c>
      <c r="B90" t="s">
        <v>141</v>
      </c>
      <c r="C90">
        <v>75.270406975724995</v>
      </c>
      <c r="D90">
        <v>58</v>
      </c>
      <c r="E90">
        <v>737</v>
      </c>
      <c r="F90">
        <v>9444.7420330629793</v>
      </c>
      <c r="G90" t="s">
        <v>54</v>
      </c>
      <c r="H90">
        <v>60</v>
      </c>
      <c r="I90">
        <v>18</v>
      </c>
      <c r="J90">
        <v>85</v>
      </c>
      <c r="K90">
        <v>7</v>
      </c>
      <c r="L90" t="s">
        <v>35</v>
      </c>
      <c r="M90">
        <v>3.8012531329310701</v>
      </c>
      <c r="N90" t="s">
        <v>60</v>
      </c>
      <c r="O90" t="s">
        <v>28</v>
      </c>
      <c r="P90">
        <v>21</v>
      </c>
      <c r="Q90">
        <v>953</v>
      </c>
      <c r="R90">
        <v>11</v>
      </c>
      <c r="S90">
        <v>68.1849190570411</v>
      </c>
      <c r="T90" t="s">
        <v>29</v>
      </c>
      <c r="U90">
        <v>0.722204401882931</v>
      </c>
      <c r="V90" t="s">
        <v>55</v>
      </c>
      <c r="W90" t="s">
        <v>47</v>
      </c>
      <c r="X90">
        <v>103.916247960704</v>
      </c>
    </row>
    <row r="91" spans="1:24" x14ac:dyDescent="0.3">
      <c r="A91" t="s">
        <v>56</v>
      </c>
      <c r="B91" t="s">
        <v>142</v>
      </c>
      <c r="C91">
        <v>97.760085581938597</v>
      </c>
      <c r="D91">
        <v>10</v>
      </c>
      <c r="E91">
        <v>134</v>
      </c>
      <c r="F91">
        <v>5924.6825668532301</v>
      </c>
      <c r="G91" t="s">
        <v>37</v>
      </c>
      <c r="H91">
        <v>90</v>
      </c>
      <c r="I91">
        <v>1</v>
      </c>
      <c r="J91">
        <v>27</v>
      </c>
      <c r="K91">
        <v>8</v>
      </c>
      <c r="L91" t="s">
        <v>26</v>
      </c>
      <c r="M91">
        <v>9.9298162452772498</v>
      </c>
      <c r="N91" t="s">
        <v>38</v>
      </c>
      <c r="O91" t="s">
        <v>44</v>
      </c>
      <c r="P91">
        <v>23</v>
      </c>
      <c r="Q91">
        <v>370</v>
      </c>
      <c r="R91">
        <v>11</v>
      </c>
      <c r="S91">
        <v>46.603873381644398</v>
      </c>
      <c r="T91" t="s">
        <v>29</v>
      </c>
      <c r="U91">
        <v>1.9076657339590699</v>
      </c>
      <c r="V91" t="s">
        <v>46</v>
      </c>
      <c r="W91" t="s">
        <v>31</v>
      </c>
      <c r="X91">
        <v>517.49997392906005</v>
      </c>
    </row>
    <row r="92" spans="1:24" x14ac:dyDescent="0.3">
      <c r="A92" t="s">
        <v>32</v>
      </c>
      <c r="B92" t="s">
        <v>143</v>
      </c>
      <c r="C92">
        <v>13.881913501359101</v>
      </c>
      <c r="D92">
        <v>56</v>
      </c>
      <c r="E92">
        <v>320</v>
      </c>
      <c r="F92">
        <v>9592.6335702803099</v>
      </c>
      <c r="G92" t="s">
        <v>25</v>
      </c>
      <c r="H92">
        <v>66</v>
      </c>
      <c r="I92">
        <v>18</v>
      </c>
      <c r="J92">
        <v>96</v>
      </c>
      <c r="K92">
        <v>7</v>
      </c>
      <c r="L92" t="s">
        <v>26</v>
      </c>
      <c r="M92">
        <v>7.6744307081126903</v>
      </c>
      <c r="N92" t="s">
        <v>27</v>
      </c>
      <c r="O92" t="s">
        <v>52</v>
      </c>
      <c r="P92">
        <v>8</v>
      </c>
      <c r="Q92">
        <v>585</v>
      </c>
      <c r="R92">
        <v>8</v>
      </c>
      <c r="S92">
        <v>85.675963335797903</v>
      </c>
      <c r="T92" t="s">
        <v>63</v>
      </c>
      <c r="U92">
        <v>1.2193822244013801</v>
      </c>
      <c r="V92" t="s">
        <v>46</v>
      </c>
      <c r="W92" t="s">
        <v>31</v>
      </c>
      <c r="X92">
        <v>990.07847250581096</v>
      </c>
    </row>
    <row r="93" spans="1:24" x14ac:dyDescent="0.3">
      <c r="A93" t="s">
        <v>56</v>
      </c>
      <c r="B93" t="s">
        <v>144</v>
      </c>
      <c r="C93">
        <v>62.111965463961702</v>
      </c>
      <c r="D93">
        <v>90</v>
      </c>
      <c r="E93">
        <v>916</v>
      </c>
      <c r="F93">
        <v>1935.20679350759</v>
      </c>
      <c r="G93" t="s">
        <v>54</v>
      </c>
      <c r="H93">
        <v>98</v>
      </c>
      <c r="I93">
        <v>22</v>
      </c>
      <c r="J93">
        <v>85</v>
      </c>
      <c r="K93">
        <v>7</v>
      </c>
      <c r="L93" t="s">
        <v>26</v>
      </c>
      <c r="M93">
        <v>7.4715140844011403</v>
      </c>
      <c r="N93" t="s">
        <v>51</v>
      </c>
      <c r="O93" t="s">
        <v>49</v>
      </c>
      <c r="P93">
        <v>5</v>
      </c>
      <c r="Q93">
        <v>207</v>
      </c>
      <c r="R93">
        <v>28</v>
      </c>
      <c r="S93">
        <v>39.772882502339897</v>
      </c>
      <c r="T93" t="s">
        <v>29</v>
      </c>
      <c r="U93">
        <v>0.62600185820939402</v>
      </c>
      <c r="V93" t="s">
        <v>46</v>
      </c>
      <c r="W93" t="s">
        <v>31</v>
      </c>
      <c r="X93">
        <v>996.77831495062298</v>
      </c>
    </row>
    <row r="94" spans="1:24" x14ac:dyDescent="0.3">
      <c r="A94" t="s">
        <v>56</v>
      </c>
      <c r="B94" t="s">
        <v>145</v>
      </c>
      <c r="C94">
        <v>47.714233075820196</v>
      </c>
      <c r="D94">
        <v>44</v>
      </c>
      <c r="E94">
        <v>276</v>
      </c>
      <c r="F94">
        <v>2100.1297546259302</v>
      </c>
      <c r="G94" t="s">
        <v>54</v>
      </c>
      <c r="H94">
        <v>90</v>
      </c>
      <c r="I94">
        <v>25</v>
      </c>
      <c r="J94">
        <v>10</v>
      </c>
      <c r="K94">
        <v>8</v>
      </c>
      <c r="L94" t="s">
        <v>26</v>
      </c>
      <c r="M94">
        <v>4.4695000261236002</v>
      </c>
      <c r="N94" t="s">
        <v>60</v>
      </c>
      <c r="O94" t="s">
        <v>28</v>
      </c>
      <c r="P94">
        <v>4</v>
      </c>
      <c r="Q94">
        <v>671</v>
      </c>
      <c r="R94">
        <v>29</v>
      </c>
      <c r="S94">
        <v>62.612690395614301</v>
      </c>
      <c r="T94" t="s">
        <v>63</v>
      </c>
      <c r="U94">
        <v>0.33343182522473902</v>
      </c>
      <c r="V94" t="s">
        <v>46</v>
      </c>
      <c r="W94" t="s">
        <v>31</v>
      </c>
      <c r="X94">
        <v>230.092782536762</v>
      </c>
    </row>
    <row r="95" spans="1:24" x14ac:dyDescent="0.3">
      <c r="A95" t="s">
        <v>23</v>
      </c>
      <c r="B95" t="s">
        <v>146</v>
      </c>
      <c r="C95">
        <v>69.290831002905406</v>
      </c>
      <c r="D95">
        <v>88</v>
      </c>
      <c r="E95">
        <v>114</v>
      </c>
      <c r="F95">
        <v>4531.4021336919004</v>
      </c>
      <c r="G95" t="s">
        <v>37</v>
      </c>
      <c r="H95">
        <v>63</v>
      </c>
      <c r="I95">
        <v>17</v>
      </c>
      <c r="J95">
        <v>66</v>
      </c>
      <c r="K95">
        <v>1</v>
      </c>
      <c r="L95" t="s">
        <v>42</v>
      </c>
      <c r="M95">
        <v>7.00643205900439</v>
      </c>
      <c r="N95" t="s">
        <v>51</v>
      </c>
      <c r="O95" t="s">
        <v>61</v>
      </c>
      <c r="P95">
        <v>21</v>
      </c>
      <c r="Q95">
        <v>824</v>
      </c>
      <c r="R95">
        <v>20</v>
      </c>
      <c r="S95">
        <v>35.633652343343797</v>
      </c>
      <c r="T95" t="s">
        <v>45</v>
      </c>
      <c r="U95">
        <v>4.1657817954241398</v>
      </c>
      <c r="V95" t="s">
        <v>39</v>
      </c>
      <c r="W95" t="s">
        <v>47</v>
      </c>
      <c r="X95">
        <v>823.52384588815505</v>
      </c>
    </row>
    <row r="96" spans="1:24" x14ac:dyDescent="0.3">
      <c r="A96" t="s">
        <v>56</v>
      </c>
      <c r="B96" t="s">
        <v>147</v>
      </c>
      <c r="C96">
        <v>3.0376887246314102</v>
      </c>
      <c r="D96">
        <v>97</v>
      </c>
      <c r="E96">
        <v>987</v>
      </c>
      <c r="F96">
        <v>7888.3565466618702</v>
      </c>
      <c r="G96" t="s">
        <v>37</v>
      </c>
      <c r="H96">
        <v>77</v>
      </c>
      <c r="I96">
        <v>26</v>
      </c>
      <c r="J96">
        <v>72</v>
      </c>
      <c r="K96">
        <v>9</v>
      </c>
      <c r="L96" t="s">
        <v>26</v>
      </c>
      <c r="M96">
        <v>6.9429459420325799</v>
      </c>
      <c r="N96" t="s">
        <v>60</v>
      </c>
      <c r="O96" t="s">
        <v>49</v>
      </c>
      <c r="P96">
        <v>12</v>
      </c>
      <c r="Q96">
        <v>908</v>
      </c>
      <c r="R96">
        <v>14</v>
      </c>
      <c r="S96">
        <v>60.387378614862101</v>
      </c>
      <c r="T96" t="s">
        <v>63</v>
      </c>
      <c r="U96">
        <v>1.4636074984727701</v>
      </c>
      <c r="V96" t="s">
        <v>46</v>
      </c>
      <c r="W96" t="s">
        <v>31</v>
      </c>
      <c r="X96">
        <v>846.66525698669398</v>
      </c>
    </row>
    <row r="97" spans="1:24" x14ac:dyDescent="0.3">
      <c r="A97" t="s">
        <v>23</v>
      </c>
      <c r="B97" t="s">
        <v>148</v>
      </c>
      <c r="C97">
        <v>77.903927219447695</v>
      </c>
      <c r="D97">
        <v>65</v>
      </c>
      <c r="E97">
        <v>672</v>
      </c>
      <c r="F97">
        <v>7386.3639440486604</v>
      </c>
      <c r="G97" t="s">
        <v>37</v>
      </c>
      <c r="H97">
        <v>15</v>
      </c>
      <c r="I97">
        <v>14</v>
      </c>
      <c r="J97">
        <v>26</v>
      </c>
      <c r="K97">
        <v>9</v>
      </c>
      <c r="L97" t="s">
        <v>26</v>
      </c>
      <c r="M97">
        <v>8.6303388696027508</v>
      </c>
      <c r="N97" t="s">
        <v>51</v>
      </c>
      <c r="O97" t="s">
        <v>28</v>
      </c>
      <c r="P97">
        <v>18</v>
      </c>
      <c r="Q97">
        <v>450</v>
      </c>
      <c r="R97">
        <v>26</v>
      </c>
      <c r="S97">
        <v>58.890685768589897</v>
      </c>
      <c r="T97" t="s">
        <v>29</v>
      </c>
      <c r="U97">
        <v>1.21088212958506</v>
      </c>
      <c r="V97" t="s">
        <v>39</v>
      </c>
      <c r="W97" t="s">
        <v>47</v>
      </c>
      <c r="X97">
        <v>778.86424137664699</v>
      </c>
    </row>
    <row r="98" spans="1:24" x14ac:dyDescent="0.3">
      <c r="A98" t="s">
        <v>56</v>
      </c>
      <c r="B98" t="s">
        <v>149</v>
      </c>
      <c r="C98">
        <v>24.423131420373299</v>
      </c>
      <c r="D98">
        <v>29</v>
      </c>
      <c r="E98">
        <v>324</v>
      </c>
      <c r="F98">
        <v>7698.4247656321104</v>
      </c>
      <c r="G98" t="s">
        <v>25</v>
      </c>
      <c r="H98">
        <v>67</v>
      </c>
      <c r="I98">
        <v>2</v>
      </c>
      <c r="J98">
        <v>32</v>
      </c>
      <c r="K98">
        <v>3</v>
      </c>
      <c r="L98" t="s">
        <v>42</v>
      </c>
      <c r="M98">
        <v>5.3528780439967996</v>
      </c>
      <c r="N98" t="s">
        <v>27</v>
      </c>
      <c r="O98" t="s">
        <v>28</v>
      </c>
      <c r="P98">
        <v>28</v>
      </c>
      <c r="Q98">
        <v>648</v>
      </c>
      <c r="R98">
        <v>28</v>
      </c>
      <c r="S98">
        <v>17.803756331391199</v>
      </c>
      <c r="T98" t="s">
        <v>29</v>
      </c>
      <c r="U98">
        <v>3.8720476814821301</v>
      </c>
      <c r="V98" t="s">
        <v>30</v>
      </c>
      <c r="W98" t="s">
        <v>47</v>
      </c>
      <c r="X98">
        <v>188.74214114905601</v>
      </c>
    </row>
    <row r="99" spans="1:24" x14ac:dyDescent="0.3">
      <c r="A99" t="s">
        <v>23</v>
      </c>
      <c r="B99" t="s">
        <v>150</v>
      </c>
      <c r="C99">
        <v>3.5261112591434101</v>
      </c>
      <c r="D99">
        <v>56</v>
      </c>
      <c r="E99">
        <v>62</v>
      </c>
      <c r="F99">
        <v>4370.9165799845296</v>
      </c>
      <c r="G99" t="s">
        <v>54</v>
      </c>
      <c r="H99">
        <v>46</v>
      </c>
      <c r="I99">
        <v>19</v>
      </c>
      <c r="J99">
        <v>4</v>
      </c>
      <c r="K99">
        <v>9</v>
      </c>
      <c r="L99" t="s">
        <v>35</v>
      </c>
      <c r="M99">
        <v>7.9048456112096703</v>
      </c>
      <c r="N99" t="s">
        <v>51</v>
      </c>
      <c r="O99" t="s">
        <v>28</v>
      </c>
      <c r="P99">
        <v>10</v>
      </c>
      <c r="Q99">
        <v>535</v>
      </c>
      <c r="R99">
        <v>13</v>
      </c>
      <c r="S99">
        <v>65.765155926367399</v>
      </c>
      <c r="T99" t="s">
        <v>45</v>
      </c>
      <c r="U99">
        <v>3.3762378347179798</v>
      </c>
      <c r="V99" t="s">
        <v>30</v>
      </c>
      <c r="W99" t="s">
        <v>47</v>
      </c>
      <c r="X99">
        <v>540.13242286796697</v>
      </c>
    </row>
    <row r="100" spans="1:24" x14ac:dyDescent="0.3">
      <c r="A100" t="s">
        <v>32</v>
      </c>
      <c r="B100" t="s">
        <v>151</v>
      </c>
      <c r="C100">
        <v>19.754604866878601</v>
      </c>
      <c r="D100">
        <v>43</v>
      </c>
      <c r="E100">
        <v>913</v>
      </c>
      <c r="F100">
        <v>8525.9525596835192</v>
      </c>
      <c r="G100" t="s">
        <v>34</v>
      </c>
      <c r="H100">
        <v>53</v>
      </c>
      <c r="I100">
        <v>1</v>
      </c>
      <c r="J100">
        <v>27</v>
      </c>
      <c r="K100">
        <v>7</v>
      </c>
      <c r="L100" t="s">
        <v>26</v>
      </c>
      <c r="M100">
        <v>1.4098010951380699</v>
      </c>
      <c r="N100" t="s">
        <v>43</v>
      </c>
      <c r="O100" t="s">
        <v>61</v>
      </c>
      <c r="P100">
        <v>28</v>
      </c>
      <c r="Q100">
        <v>581</v>
      </c>
      <c r="R100">
        <v>9</v>
      </c>
      <c r="S100">
        <v>5.6046908643717801</v>
      </c>
      <c r="T100" t="s">
        <v>29</v>
      </c>
      <c r="U100">
        <v>2.9081221693512598</v>
      </c>
      <c r="V100" t="s">
        <v>46</v>
      </c>
      <c r="W100" t="s">
        <v>47</v>
      </c>
      <c r="X100">
        <v>882.19886354704101</v>
      </c>
    </row>
    <row r="101" spans="1:24" x14ac:dyDescent="0.3">
      <c r="A101" t="s">
        <v>23</v>
      </c>
      <c r="B101" t="s">
        <v>152</v>
      </c>
      <c r="C101">
        <v>68.517832699276596</v>
      </c>
      <c r="D101">
        <v>17</v>
      </c>
      <c r="E101">
        <v>627</v>
      </c>
      <c r="F101">
        <v>9185.1858291817007</v>
      </c>
      <c r="G101" t="s">
        <v>37</v>
      </c>
      <c r="H101">
        <v>55</v>
      </c>
      <c r="I101">
        <v>8</v>
      </c>
      <c r="J101">
        <v>59</v>
      </c>
      <c r="K101">
        <v>6</v>
      </c>
      <c r="L101" t="s">
        <v>26</v>
      </c>
      <c r="M101">
        <v>1.3110237561206199</v>
      </c>
      <c r="N101" t="s">
        <v>60</v>
      </c>
      <c r="O101" t="s">
        <v>61</v>
      </c>
      <c r="P101">
        <v>29</v>
      </c>
      <c r="Q101">
        <v>921</v>
      </c>
      <c r="R101">
        <v>2</v>
      </c>
      <c r="S101">
        <v>38.072898520625998</v>
      </c>
      <c r="T101" t="s">
        <v>45</v>
      </c>
      <c r="U101">
        <v>0.34602729070550298</v>
      </c>
      <c r="V101" t="s">
        <v>46</v>
      </c>
      <c r="W101" t="s">
        <v>31</v>
      </c>
      <c r="X101">
        <v>210.743008964246</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Pivot Table</vt:lpstr>
      <vt:lpstr>supply_chain_data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ASUS Vivobook</dc:creator>
  <cp:lastModifiedBy>Khanh Phuong Pham Ngoc</cp:lastModifiedBy>
  <dcterms:created xsi:type="dcterms:W3CDTF">2026-06-24T09:30:29Z</dcterms:created>
  <dcterms:modified xsi:type="dcterms:W3CDTF">2026-06-24T18:23:02Z</dcterms:modified>
</cp:coreProperties>
</file>